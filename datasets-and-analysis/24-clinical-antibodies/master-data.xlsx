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euschke\python-scripts\directed-evolution-in-codon-space\dataset-figures-analysis\25-clinical-antibodies\"/>
    </mc:Choice>
  </mc:AlternateContent>
  <xr:revisionPtr revIDLastSave="0" documentId="13_ncr:1_{D82AA446-C0DC-4C11-9723-35C9E310001A}" xr6:coauthVersionLast="47" xr6:coauthVersionMax="47" xr10:uidLastSave="{00000000-0000-0000-0000-000000000000}"/>
  <bookViews>
    <workbookView xWindow="-110" yWindow="-110" windowWidth="19420" windowHeight="11500" xr2:uid="{00000000-000D-0000-FFFF-FFFF00000000}"/>
  </bookViews>
  <sheets>
    <sheet name="Sheet1" sheetId="1" r:id="rId1"/>
  </sheets>
  <externalReferences>
    <externalReference r:id="rId2"/>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8" i="1"/>
  <c r="K9" i="1"/>
  <c r="K10" i="1"/>
  <c r="K11" i="1"/>
  <c r="K12" i="1"/>
  <c r="K13" i="1"/>
  <c r="K14" i="1"/>
  <c r="K15" i="1"/>
  <c r="K16" i="1"/>
  <c r="K17" i="1"/>
  <c r="K18" i="1"/>
  <c r="K19" i="1"/>
  <c r="K20" i="1"/>
  <c r="K21" i="1"/>
  <c r="K22" i="1"/>
  <c r="K23" i="1"/>
  <c r="K26" i="1"/>
  <c r="K27" i="1"/>
  <c r="K28" i="1"/>
  <c r="K29" i="1"/>
  <c r="K30" i="1"/>
  <c r="K31" i="1"/>
  <c r="K36" i="1"/>
  <c r="K37" i="1"/>
  <c r="K38" i="1"/>
  <c r="K39" i="1"/>
  <c r="K40" i="1"/>
  <c r="K41" i="1"/>
  <c r="K44" i="1"/>
  <c r="K45" i="1"/>
  <c r="K46" i="1"/>
  <c r="K47" i="1"/>
  <c r="K2" i="1"/>
  <c r="J8" i="1"/>
  <c r="J9" i="1"/>
  <c r="J10" i="1"/>
  <c r="J11" i="1"/>
  <c r="J12" i="1"/>
  <c r="J13" i="1"/>
  <c r="J14" i="1"/>
  <c r="J15" i="1"/>
  <c r="J16" i="1"/>
  <c r="J17" i="1"/>
  <c r="J18" i="1"/>
  <c r="J19" i="1"/>
  <c r="J20" i="1"/>
  <c r="J21" i="1"/>
  <c r="J24" i="1"/>
  <c r="J25" i="1"/>
  <c r="J26" i="1"/>
  <c r="J27" i="1"/>
  <c r="J28" i="1"/>
  <c r="J29" i="1"/>
  <c r="J30" i="1"/>
  <c r="J31" i="1"/>
  <c r="J36" i="1"/>
  <c r="J37" i="1"/>
  <c r="J38" i="1"/>
  <c r="J39" i="1"/>
  <c r="J40" i="1"/>
  <c r="J41" i="1"/>
  <c r="J44" i="1"/>
  <c r="J45" i="1"/>
  <c r="J46" i="1"/>
  <c r="J47" i="1"/>
  <c r="C2" i="1"/>
  <c r="D2" i="1"/>
  <c r="E2" i="1"/>
  <c r="F2" i="1"/>
  <c r="H2" i="1"/>
  <c r="I2" i="1"/>
  <c r="C3" i="1"/>
  <c r="D3" i="1"/>
  <c r="E3" i="1"/>
  <c r="F3" i="1"/>
  <c r="H3" i="1"/>
  <c r="I3" i="1"/>
  <c r="C4" i="1"/>
  <c r="D4" i="1"/>
  <c r="E4" i="1"/>
  <c r="F4" i="1"/>
  <c r="H4" i="1"/>
  <c r="I4" i="1"/>
  <c r="C5" i="1"/>
  <c r="D5" i="1"/>
  <c r="E5" i="1"/>
  <c r="F5" i="1"/>
  <c r="H5" i="1"/>
  <c r="I5" i="1"/>
  <c r="C6" i="1"/>
  <c r="D6" i="1"/>
  <c r="E6" i="1"/>
  <c r="F6" i="1"/>
  <c r="H6" i="1"/>
  <c r="I6" i="1"/>
  <c r="C7" i="1"/>
  <c r="D7" i="1"/>
  <c r="E7" i="1"/>
  <c r="F7" i="1"/>
  <c r="H7" i="1"/>
  <c r="I7" i="1"/>
  <c r="C8" i="1"/>
  <c r="D8" i="1"/>
  <c r="E8" i="1"/>
  <c r="F8" i="1"/>
  <c r="H8" i="1"/>
  <c r="I8" i="1"/>
  <c r="C9" i="1"/>
  <c r="D9" i="1"/>
  <c r="E9" i="1"/>
  <c r="F9" i="1"/>
  <c r="H9" i="1"/>
  <c r="I9" i="1"/>
  <c r="C10" i="1"/>
  <c r="D10" i="1"/>
  <c r="E10" i="1"/>
  <c r="F10" i="1"/>
  <c r="H10" i="1"/>
  <c r="I10" i="1"/>
  <c r="C11" i="1"/>
  <c r="D11" i="1"/>
  <c r="E11" i="1"/>
  <c r="F11" i="1"/>
  <c r="H11" i="1"/>
  <c r="I11" i="1"/>
  <c r="C12" i="1"/>
  <c r="D12" i="1"/>
  <c r="E12" i="1"/>
  <c r="F12" i="1"/>
  <c r="H12" i="1"/>
  <c r="I12" i="1"/>
  <c r="C13" i="1"/>
  <c r="D13" i="1"/>
  <c r="E13" i="1"/>
  <c r="F13" i="1"/>
  <c r="H13" i="1"/>
  <c r="I13" i="1"/>
  <c r="C14" i="1"/>
  <c r="D14" i="1"/>
  <c r="E14" i="1"/>
  <c r="F14" i="1"/>
  <c r="H14" i="1"/>
  <c r="I14" i="1"/>
  <c r="C15" i="1"/>
  <c r="D15" i="1"/>
  <c r="E15" i="1"/>
  <c r="F15" i="1"/>
  <c r="H15" i="1"/>
  <c r="I15" i="1"/>
  <c r="C16" i="1"/>
  <c r="D16" i="1"/>
  <c r="E16" i="1"/>
  <c r="F16" i="1"/>
  <c r="H16" i="1"/>
  <c r="I16" i="1"/>
  <c r="C17" i="1"/>
  <c r="D17" i="1"/>
  <c r="E17" i="1"/>
  <c r="F17" i="1"/>
  <c r="H17" i="1"/>
  <c r="I17" i="1"/>
  <c r="C18" i="1"/>
  <c r="D18" i="1"/>
  <c r="E18" i="1"/>
  <c r="F18" i="1"/>
  <c r="H18" i="1"/>
  <c r="I18" i="1"/>
  <c r="C19" i="1"/>
  <c r="D19" i="1"/>
  <c r="E19" i="1"/>
  <c r="F19" i="1"/>
  <c r="H19" i="1"/>
  <c r="I19" i="1"/>
  <c r="C20" i="1"/>
  <c r="D20" i="1"/>
  <c r="E20" i="1"/>
  <c r="F20" i="1"/>
  <c r="H20" i="1"/>
  <c r="I20" i="1"/>
  <c r="C21" i="1"/>
  <c r="D21" i="1"/>
  <c r="E21" i="1"/>
  <c r="F21" i="1"/>
  <c r="H21" i="1"/>
  <c r="I21" i="1"/>
  <c r="C22" i="1"/>
  <c r="D22" i="1"/>
  <c r="E22" i="1"/>
  <c r="F22" i="1"/>
  <c r="H22" i="1"/>
  <c r="I22" i="1"/>
  <c r="C23" i="1"/>
  <c r="D23" i="1"/>
  <c r="E23" i="1"/>
  <c r="F23" i="1"/>
  <c r="H23" i="1"/>
  <c r="I23" i="1"/>
  <c r="C24" i="1"/>
  <c r="D24" i="1"/>
  <c r="E24" i="1"/>
  <c r="F24" i="1"/>
  <c r="H24" i="1"/>
  <c r="I24" i="1"/>
  <c r="C25" i="1"/>
  <c r="D25" i="1"/>
  <c r="E25" i="1"/>
  <c r="F25" i="1"/>
  <c r="H25" i="1"/>
  <c r="I25" i="1"/>
  <c r="C26" i="1"/>
  <c r="D26" i="1"/>
  <c r="E26" i="1"/>
  <c r="F26" i="1"/>
  <c r="H26" i="1"/>
  <c r="I26" i="1"/>
  <c r="C27" i="1"/>
  <c r="D27" i="1"/>
  <c r="E27" i="1"/>
  <c r="F27" i="1"/>
  <c r="H27" i="1"/>
  <c r="I27" i="1"/>
  <c r="C28" i="1"/>
  <c r="D28" i="1"/>
  <c r="E28" i="1"/>
  <c r="F28" i="1"/>
  <c r="H28" i="1"/>
  <c r="I28" i="1"/>
  <c r="C29" i="1"/>
  <c r="D29" i="1"/>
  <c r="E29" i="1"/>
  <c r="F29" i="1"/>
  <c r="H29" i="1"/>
  <c r="I29" i="1"/>
  <c r="C30" i="1"/>
  <c r="D30" i="1"/>
  <c r="E30" i="1"/>
  <c r="F30" i="1"/>
  <c r="H30" i="1"/>
  <c r="I30" i="1"/>
  <c r="C31" i="1"/>
  <c r="D31" i="1"/>
  <c r="E31" i="1"/>
  <c r="F31" i="1"/>
  <c r="H31" i="1"/>
  <c r="I31" i="1"/>
  <c r="C32" i="1"/>
  <c r="D32" i="1"/>
  <c r="E32" i="1"/>
  <c r="F32" i="1"/>
  <c r="G32" i="1"/>
  <c r="H32" i="1"/>
  <c r="I32" i="1"/>
  <c r="C33" i="1"/>
  <c r="D33" i="1"/>
  <c r="E33" i="1"/>
  <c r="F33" i="1"/>
  <c r="G33" i="1"/>
  <c r="H33" i="1"/>
  <c r="I33" i="1"/>
  <c r="C34" i="1"/>
  <c r="D34" i="1"/>
  <c r="E34" i="1"/>
  <c r="F34" i="1"/>
  <c r="G34" i="1"/>
  <c r="H34" i="1"/>
  <c r="I34" i="1"/>
  <c r="C35" i="1"/>
  <c r="D35" i="1"/>
  <c r="E35" i="1"/>
  <c r="F35" i="1"/>
  <c r="G35" i="1"/>
  <c r="H35" i="1"/>
  <c r="I35" i="1"/>
  <c r="C36" i="1"/>
  <c r="D36" i="1"/>
  <c r="E36" i="1"/>
  <c r="F36" i="1"/>
  <c r="H36" i="1"/>
  <c r="I36" i="1"/>
  <c r="C37" i="1"/>
  <c r="D37" i="1"/>
  <c r="E37" i="1"/>
  <c r="F37" i="1"/>
  <c r="H37" i="1"/>
  <c r="I37" i="1"/>
  <c r="C38" i="1"/>
  <c r="D38" i="1"/>
  <c r="E38" i="1"/>
  <c r="F38" i="1"/>
  <c r="H38" i="1"/>
  <c r="I38" i="1"/>
  <c r="C39" i="1"/>
  <c r="D39" i="1"/>
  <c r="E39" i="1"/>
  <c r="F39" i="1"/>
  <c r="H39" i="1"/>
  <c r="I39" i="1"/>
  <c r="C40" i="1"/>
  <c r="D40" i="1"/>
  <c r="E40" i="1"/>
  <c r="F40" i="1"/>
  <c r="H40" i="1"/>
  <c r="I40" i="1"/>
  <c r="C41" i="1"/>
  <c r="D41" i="1"/>
  <c r="E41" i="1"/>
  <c r="F41" i="1"/>
  <c r="H41" i="1"/>
  <c r="I41" i="1"/>
  <c r="C42" i="1"/>
  <c r="D42" i="1"/>
  <c r="E42" i="1"/>
  <c r="F42" i="1"/>
  <c r="G42" i="1"/>
  <c r="H42" i="1"/>
  <c r="I42" i="1"/>
  <c r="C43" i="1"/>
  <c r="D43" i="1"/>
  <c r="E43" i="1"/>
  <c r="F43" i="1"/>
  <c r="G43" i="1"/>
  <c r="H43" i="1"/>
  <c r="I43" i="1"/>
  <c r="C44" i="1"/>
  <c r="D44" i="1"/>
  <c r="E44" i="1"/>
  <c r="F44" i="1"/>
  <c r="H44" i="1"/>
  <c r="I44" i="1"/>
  <c r="C45" i="1"/>
  <c r="D45" i="1"/>
  <c r="E45" i="1"/>
  <c r="F45" i="1"/>
  <c r="H45" i="1"/>
  <c r="I45" i="1"/>
  <c r="C46" i="1"/>
  <c r="D46" i="1"/>
  <c r="E46" i="1"/>
  <c r="F46" i="1"/>
  <c r="H46" i="1"/>
  <c r="I46" i="1"/>
  <c r="C47" i="1"/>
  <c r="D47" i="1"/>
  <c r="E47" i="1"/>
  <c r="F47" i="1"/>
  <c r="H47" i="1"/>
  <c r="I47" i="1"/>
  <c r="C48" i="1"/>
  <c r="D48" i="1"/>
  <c r="E48" i="1"/>
  <c r="F48" i="1"/>
  <c r="H48" i="1"/>
  <c r="I48" i="1"/>
  <c r="C49" i="1"/>
  <c r="D49" i="1"/>
  <c r="E49" i="1"/>
  <c r="F49" i="1"/>
  <c r="H49" i="1"/>
  <c r="I49" i="1"/>
</calcChain>
</file>

<file path=xl/sharedStrings.xml><?xml version="1.0" encoding="utf-8"?>
<sst xmlns="http://schemas.openxmlformats.org/spreadsheetml/2006/main" count="211" uniqueCount="148">
  <si>
    <t>Molecule</t>
  </si>
  <si>
    <t>Amivantamab 1 Mutated</t>
  </si>
  <si>
    <t>Amivantamab 1 Patent</t>
  </si>
  <si>
    <t>Amivantamab 2 Mutated</t>
  </si>
  <si>
    <t>Amivantamab 2 Patent</t>
  </si>
  <si>
    <t>Belimumab Mutated</t>
  </si>
  <si>
    <t>Belimumab Patent</t>
  </si>
  <si>
    <t>Bimekizumab Mutated</t>
  </si>
  <si>
    <t>Bimekizumab Patent</t>
  </si>
  <si>
    <t>Brentuximab Mutated</t>
  </si>
  <si>
    <t>Brentuximab Patent</t>
  </si>
  <si>
    <t>Burosumab Mutated</t>
  </si>
  <si>
    <t>Burosumab Patent</t>
  </si>
  <si>
    <t>Canakinumab Mutated</t>
  </si>
  <si>
    <t>Canakinumab Patent</t>
  </si>
  <si>
    <t>Concizumab Mutated</t>
  </si>
  <si>
    <t>Concizumab Patent</t>
  </si>
  <si>
    <t>Daclizumab Mutated</t>
  </si>
  <si>
    <t>Daclizumab Patent</t>
  </si>
  <si>
    <t>Donanemab Mutated</t>
  </si>
  <si>
    <t>Donanemab Patent</t>
  </si>
  <si>
    <t>Dostarlimab Mutated</t>
  </si>
  <si>
    <t>Dostarlimab Patent</t>
  </si>
  <si>
    <t>Enlonstobart Mutated</t>
  </si>
  <si>
    <t>Enlonstobart Patent</t>
  </si>
  <si>
    <t>Fremanezumab Mutated</t>
  </si>
  <si>
    <t>Fremanezumab Patent</t>
  </si>
  <si>
    <t>Galcanezumab Mutated</t>
  </si>
  <si>
    <t>Galcanezumab Patent</t>
  </si>
  <si>
    <t>Infliximab Mutated</t>
  </si>
  <si>
    <t>Infliximab Patent</t>
  </si>
  <si>
    <t>Marlotamig Mutated</t>
  </si>
  <si>
    <t>Marlotamig Patent</t>
  </si>
  <si>
    <t>Melredableukin Mutated</t>
  </si>
  <si>
    <t>Melredableukin Patent</t>
  </si>
  <si>
    <t>Mirikizumab Mutated</t>
  </si>
  <si>
    <t>Mirikizumab Patent</t>
  </si>
  <si>
    <t>Natalizumab Mutated</t>
  </si>
  <si>
    <t>Natalizumab Patent</t>
  </si>
  <si>
    <t>Nirsevimab Mutated</t>
  </si>
  <si>
    <t>Nirsevimab Patent</t>
  </si>
  <si>
    <t>Pabinafusp Mutated</t>
  </si>
  <si>
    <t>Pabinafusp Patent</t>
  </si>
  <si>
    <t>Serplulimab Mutated</t>
  </si>
  <si>
    <t>Serplulimab Patent</t>
  </si>
  <si>
    <t>Vedolizumab Mutated</t>
  </si>
  <si>
    <t>Vedolizumab Patent</t>
  </si>
  <si>
    <t>Vislarafusp Mutated</t>
  </si>
  <si>
    <t>Vislarafusp Patent</t>
  </si>
  <si>
    <t>E1%</t>
  </si>
  <si>
    <t>Titer mg/L Rep 1</t>
  </si>
  <si>
    <t>Titer mg/L Rep 2</t>
  </si>
  <si>
    <t>Titer mg/L Rep 3</t>
  </si>
  <si>
    <t>ProA RT Rep 1</t>
  </si>
  <si>
    <t>ProA RT Rep 2</t>
  </si>
  <si>
    <t>ProA RT Rep 3</t>
  </si>
  <si>
    <t>Cumulant Radius (nm) SD</t>
  </si>
  <si>
    <t>Cumulant PDI SD</t>
  </si>
  <si>
    <t>Scattering Intensity (cts/s) SD</t>
  </si>
  <si>
    <t>Purified Concentration (mg/mL) Rep 1</t>
  </si>
  <si>
    <t>Total Yield (ug) Rep 1</t>
  </si>
  <si>
    <t>Purified Concentration (mg/mL) Rep 2</t>
  </si>
  <si>
    <t>Total Yield (ug) Rep 2</t>
  </si>
  <si>
    <t>Purified Concentration (mg/mL) Rep 3</t>
  </si>
  <si>
    <t>Total Yield (ug) Rep 3</t>
  </si>
  <si>
    <t>% HMW Rep 1</t>
  </si>
  <si>
    <t>% LMW Rep 1</t>
  </si>
  <si>
    <t>% Monomer Rep 1</t>
  </si>
  <si>
    <t>Retention Time Main Peak Rep 1</t>
  </si>
  <si>
    <t>% HMW Rep 2</t>
  </si>
  <si>
    <t>% LMW Rep 2</t>
  </si>
  <si>
    <t>% Monomer Rep 2</t>
  </si>
  <si>
    <t>Retention Time Main Peak Rep 2</t>
  </si>
  <si>
    <t>% HMW Rep 3</t>
  </si>
  <si>
    <t>% LMW Rep 3</t>
  </si>
  <si>
    <t>% Monomer Rep 3</t>
  </si>
  <si>
    <t>Retention Time Main Peak Rep 3</t>
  </si>
  <si>
    <t>Cumulant Radius (nm) mean</t>
  </si>
  <si>
    <t>Cumulant PDI mean</t>
  </si>
  <si>
    <t>Scattering Intensity (cts/s) mean</t>
  </si>
  <si>
    <t>Type</t>
  </si>
  <si>
    <t>CH1 Isotype</t>
  </si>
  <si>
    <t>LC Isotype</t>
  </si>
  <si>
    <t>Target</t>
  </si>
  <si>
    <t>Note</t>
  </si>
  <si>
    <t>Highest_Clin_Trial (Feb '25)</t>
  </si>
  <si>
    <t>Companies</t>
  </si>
  <si>
    <t>INN</t>
  </si>
  <si>
    <t>Belimumab</t>
  </si>
  <si>
    <t>Bimekizumab</t>
  </si>
  <si>
    <t>Brentuximab</t>
  </si>
  <si>
    <t>Burosumab</t>
  </si>
  <si>
    <t>Canakinumab</t>
  </si>
  <si>
    <t>Concizumab</t>
  </si>
  <si>
    <t>Daclizumab</t>
  </si>
  <si>
    <t>Donanemab</t>
  </si>
  <si>
    <t>Dostarlimab</t>
  </si>
  <si>
    <t>Enlonstobart</t>
  </si>
  <si>
    <t>Fremanezumab</t>
  </si>
  <si>
    <t>Galcanezumab</t>
  </si>
  <si>
    <t>Infliximab</t>
  </si>
  <si>
    <t>Marlotamig</t>
  </si>
  <si>
    <t>Melredableukin</t>
  </si>
  <si>
    <t>Mirikizumab</t>
  </si>
  <si>
    <t>Natalizumab</t>
  </si>
  <si>
    <t>Nirsevimab</t>
  </si>
  <si>
    <t>Pabinafusp</t>
  </si>
  <si>
    <t>Serplulimab</t>
  </si>
  <si>
    <t>Vedolizumab</t>
  </si>
  <si>
    <t>Vislarafusp</t>
  </si>
  <si>
    <t>Amivantamab 1</t>
  </si>
  <si>
    <t>Amivantamab 2</t>
  </si>
  <si>
    <t>Patent Link</t>
  </si>
  <si>
    <t>Patent Text</t>
  </si>
  <si>
    <t>https://patents.google.com/patent/EP3059319A1/en?oq=EP3059319</t>
  </si>
  <si>
    <t>“the DNA nucleotide sequence (SEQ ID NO: 23) which encodes the amino acid sequence (SEQ ID NO: 25) of belimumab light chain.”“the DNA nucleotide sequence (SEQ ID NO: 24) which encodes the amino acid sequence (SEQ ID NO: 26) of belimumab heavy chain.”“The substitution of the DNA nucleotide sequence was performed using a DNA nucleotide sequence optimized for CHO cells, which is an antibody‑expressing cell line…”“The animal cell may be… preferably a Chinese hamster ovary (CHO) cell.”“DHFR‑deficient CHO‑DG44 cells…”</t>
  </si>
  <si>
    <t>“The whole antibody is called SG001 antibody (the light chain amino acid sequence is SEQ ID NO. 11, and the corresponding nucleotide sequence is SEQ ID NO. 12; the heavy chain amino acid sequence is SEQ ID NO. 13, and the corresponding nucleotide sequence is SEQ ID NO. 14).”“The variable region gene of the obtained SG001 clone was cloned into the eukaryotic expression vector pCMV‑163… The obtained eukaryotic expression vector was transfected into CHO cells … and a monoclonal cell line with a high expression level was obtained.”“In some embodiments, the eukaryotic expression system is a mammalian cell expression system. In some embodiments, the mammalian cell is selected from the group consisting of Chinese hamster ovary (CHO) cells…”</t>
  </si>
  <si>
    <t>https://patents.google.com/patent/US20200299388A1/en?oq=US+2020%2f0299388+A1+</t>
  </si>
  <si>
    <t>“introducing one or more polynucleotides encoding the immunoglobulin chains of said antigen‑binding protein into a host cell (e.g., a CHO cell); (b) culturing the host cell under conditions favorable to expression…” [US20200299388A1 | PDF]“Vectors comprising the polynucleotides of the present invention are also part of the present invention as well as host cells (e.g., CHO) comprising a polynucleotide, vector or antigen‑binding protein of the present invention.” [US20200299388A1 | PDF]“…culturing the host cell (e.g., CHO or Pichia or Pichia pastoris) under conditions favorable to expression…”</t>
  </si>
  <si>
    <t>https://patents.google.com/patent/US11098099B2/en?oq=WO2015118016</t>
  </si>
  <si>
    <t>“Fusion proteins… were produced by co‑transfecting exponentially growing HEK293‑EBNA cells… Alternatively, stably transfected CHO cell pools or CHO cell clones were used for production in serum‑free media.”“Host cells include cultured cells, e.g. mammalian cultured cells, such as CHO cells, BHK cells, NS0 cells, SP2/0 cells, Y0 myeloma cells, P3X63 mouse myeloma cells, PER cells, PER.C6 cells or hybridoma cells, yeast cells, insect cells, and plant cells…”“In one embodiment, the host cell is a eukaryotic cell, preferably a mammalian cell, such as a Chinese Hamster Ovary (CHO) cell, a human embryonic kidney (HEK) cell or a lymphoid cell (e.g., Y0, NS0, Sp2/0 cell).”“In a specific embodiment, said fusion protein comprises the polypeptide sequences of SEQ ID NO: 19 and SEQ ID NO: 50. In a specific embodiment, said fusion protein comprises an immunoglobulin light chain of SEQ ID NO: 19 and an immunoglobulin heavy chain‑IL‑2 fusion polypeptide of SEQ ID NO: 50.”“said mutant IL‑2 molecules are each fused at their N‑terminal amino acid to the C‑terminal amino acid of one of the immunoglobulin heavy chains…”</t>
  </si>
  <si>
    <t>https://patents.google.com/patent/US8834874B2/en?oq=US8834874</t>
  </si>
  <si>
    <t>“In some embodiments, provided herein are host cells comprising the vectors comprising the isolated polynucleotides encoding a fusion antibody. In some embodiments, the host cell is a Chinese Hamster Ovary (CHO).”“Chinese hamster ovary (CHO) cells were grown in serum free HyOSFM4CHO utility medium (HyClone), containing 1×HT supplement (hypoxanthine and thymidine).”“CHO cells (5×10^6 viable cells) were electroporated with 5 µg PvuI linearized TV‑HIRMAb‑IDS plasmid DNA.”“Nucleotide Sequence of HIR Ab-IDS HC (SEQID NO:14)”“The nucleotide (nt) sequence encoding the open reading frame of the LC, the HC fusion protein, and the DHFR is given in SEQ ID NO:13, SEQ ID NO:14, and SEQ ID NO:15, respectively (FIGS. 16, 17, 18 respectively).” [US8834874 | PDF]“Nucleotide Sequence of HIR Ab-IDS LC (SEQ ID NO:13)”</t>
  </si>
  <si>
    <t>https://patents.google.com/patent/US11453724B2/en</t>
  </si>
  <si>
    <t>“the expression vectors … were electroporated into Chinese Hamster Ovary (CHO) cells (ATCC, Cat # CCL‑61) …”“the expression vectors … were electroporated into Chinese Hamster Ovary (CHO) cells (ATCC, Cat # CCL‑61) …”“Suitable host cells include Escherichia coli, yeasts and other eukaryotes. Preferably, Escherichia coli, yeast or mammalian cell lines (such as COS or CHO) are used.”“The anti‑HER2 antibody … two heavy chains each having an amino acid sequence of SEQ ID NO: 6 … which may be encoded by nucleic acid sequences of SEQ ID NOs: 5 and 7, respectively.”“&lt;223&gt; OTHER INFORMATION : Nucleotides encoding heavy chain of anti - HER2 antibody … SEQ ID NO 5.”“For the light chain vector construction … SIRPAD1 (SEQ ID NO.:1) was linked through a GS‑linker (SEQ ID NO.:3) to the N terminal of the light chain coding sequence of IMM29 (SEQ ID NO.:7) (totally SEQ ID NO.: 11).”“SIRP alpha D1 - Linker - anti - HER2 light chain SEQ ID NO : 11”</t>
  </si>
  <si>
    <t>SEQ ID From Patent</t>
  </si>
  <si>
    <t>24,23</t>
  </si>
  <si>
    <t>17,13</t>
  </si>
  <si>
    <t>27,29</t>
  </si>
  <si>
    <t>30,32</t>
  </si>
  <si>
    <t>30,40</t>
  </si>
  <si>
    <t>10,7</t>
  </si>
  <si>
    <t>3,1</t>
  </si>
  <si>
    <t>56,55</t>
  </si>
  <si>
    <t>3,4</t>
  </si>
  <si>
    <t>14,12</t>
  </si>
  <si>
    <t>13,14</t>
  </si>
  <si>
    <t>2,1</t>
  </si>
  <si>
    <t>23,28</t>
  </si>
  <si>
    <t>23,27</t>
  </si>
  <si>
    <t>51,20</t>
  </si>
  <si>
    <t>16,19</t>
  </si>
  <si>
    <t>12,11</t>
  </si>
  <si>
    <t>14,13</t>
  </si>
  <si>
    <t>4,3</t>
  </si>
  <si>
    <t>5,11</t>
  </si>
  <si>
    <t>https://patents.google.com/patent/US9695242B2/en</t>
  </si>
  <si>
    <t>https://patents.google.com/patent/US11155624B2/en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</si>
</sst>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1" fillId="0" borderId="0" xfId="0" applyFont="1"/>
    <xf numFmtId="0" fontId="0" fillId="0" borderId="0" xfId="0" applyAlignment="1">
      <alignment vertical="center"/>
    </xf>
    <xf numFmtId="3" fontId="0" fillId="0" borderId="1" xfId="0" applyNumberFormat="1" applyBorder="1" applyAlignment="1">
      <alignment horizontal="left"/>
    </xf>
    <xf numFmtId="0" fontId="0" fillId="0" borderId="1" xfId="0" applyBorder="1" applyAlignment="1">
      <alignment horizontal="left"/>
    </xf>
    <xf numFmtId="0" fontId="1" fillId="0" borderId="0" xfId="0" applyFont="1" applyAlignment="1">
      <alignment horizontal="left"/>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oehringer-my.sharepoint.com/personal/james_heuschkel_boehringer-ingelheim_com/Documents/Desktop/Codon%20Evolution%20Supporting%20Files/syn_codonlm_optimized_sequences.xlsx" TargetMode="External"/><Relationship Id="rId1" Type="http://schemas.openxmlformats.org/officeDocument/2006/relationships/externalLinkPath" Target="https://boehringer-my.sharepoint.com/personal/james_heuschkel_boehringer-ingelheim_com/Documents/Desktop/Codon%20Evolution%20Supporting%20Files/syn_codonlm_optimized_sequence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boehringer-my.sharepoint.com/personal/james_heuschkel_boehringer-ingelheim_com/Documents/Desktop/Codon%20Evolution%20Supporting%20Files/Antibodies-with-coding-sequences.xlsx" TargetMode="External"/><Relationship Id="rId1" Type="http://schemas.openxmlformats.org/officeDocument/2006/relationships/externalLinkPath" Target="https://boehringer-my.sharepoint.com/personal/james_heuschkel_boehringer-ingelheim_com/Documents/Desktop/Codon%20Evolution%20Supporting%20Files/Antibodies-with-coding-sequen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Expression Results (2)"/>
      <sheetName val="OptimizedSequences"/>
      <sheetName val="Fed For Stats"/>
      <sheetName val="Fragment Order"/>
      <sheetName val="Complex Fragments Order"/>
      <sheetName val="Summary"/>
      <sheetName val="Trace"/>
      <sheetName val="Missed"/>
      <sheetName val="DNA Platemaps"/>
      <sheetName val="Platemaps for Expression"/>
      <sheetName val="Results"/>
      <sheetName val="Results Filtered"/>
      <sheetName val="ReExpression Results"/>
    </sheetNames>
    <sheetDataSet>
      <sheetData sheetId="0"/>
      <sheetData sheetId="1"/>
      <sheetData sheetId="2"/>
      <sheetData sheetId="3"/>
      <sheetData sheetId="4"/>
      <sheetData sheetId="5"/>
      <sheetData sheetId="6"/>
      <sheetData sheetId="7"/>
      <sheetData sheetId="8"/>
      <sheetData sheetId="9"/>
      <sheetData sheetId="10"/>
      <sheetData sheetId="11">
        <row r="1">
          <cell r="A1" t="str">
            <v>Type</v>
          </cell>
          <cell r="B1" t="str">
            <v>CH1 Isotype</v>
          </cell>
          <cell r="C1" t="str">
            <v>LC Isotype</v>
          </cell>
          <cell r="D1" t="str">
            <v>Target</v>
          </cell>
          <cell r="E1" t="str">
            <v>Note</v>
          </cell>
          <cell r="F1" t="str">
            <v>Highest_Clin_Trial (Feb '25)</v>
          </cell>
          <cell r="G1" t="str">
            <v>Companies</v>
          </cell>
        </row>
        <row r="2">
          <cell r="A2" t="str">
            <v>Whole mAb</v>
          </cell>
          <cell r="B2" t="str">
            <v>G1</v>
          </cell>
          <cell r="C2" t="str">
            <v>Kappa</v>
          </cell>
          <cell r="D2" t="str">
            <v>APP</v>
          </cell>
          <cell r="F2" t="str">
            <v>Approved</v>
          </cell>
          <cell r="G2" t="str">
            <v>Eli Lilly</v>
          </cell>
          <cell r="H2" t="str">
            <v>Donanemab</v>
          </cell>
        </row>
        <row r="3">
          <cell r="A3" t="str">
            <v>Whole mAb</v>
          </cell>
          <cell r="B3" t="str">
            <v>G4</v>
          </cell>
          <cell r="C3" t="str">
            <v>Kappa</v>
          </cell>
          <cell r="D3" t="str">
            <v>IL23A</v>
          </cell>
          <cell r="F3" t="str">
            <v>Approved</v>
          </cell>
          <cell r="G3" t="str">
            <v>Eli Lilly</v>
          </cell>
          <cell r="H3" t="str">
            <v>Mirikizumab</v>
          </cell>
        </row>
        <row r="4">
          <cell r="A4" t="str">
            <v>Whole mAb</v>
          </cell>
          <cell r="B4" t="str">
            <v>G1</v>
          </cell>
          <cell r="C4" t="str">
            <v>Kappa</v>
          </cell>
          <cell r="D4" t="str">
            <v>IL17A</v>
          </cell>
          <cell r="F4" t="str">
            <v>Approved</v>
          </cell>
          <cell r="G4" t="str">
            <v>UCB</v>
          </cell>
          <cell r="H4" t="str">
            <v>Bimekizumab</v>
          </cell>
        </row>
        <row r="5">
          <cell r="A5" t="str">
            <v>Whole mAb</v>
          </cell>
          <cell r="B5" t="str">
            <v>G1</v>
          </cell>
          <cell r="C5" t="str">
            <v>Kappa</v>
          </cell>
          <cell r="D5" t="str">
            <v>FGF23</v>
          </cell>
          <cell r="F5" t="str">
            <v>Approved</v>
          </cell>
          <cell r="G5" t="str">
            <v xml:space="preserve">Kyowa Hakko Kirin;Ultragenyx Pharmaceutical </v>
          </cell>
          <cell r="H5" t="str">
            <v>Burosumab</v>
          </cell>
        </row>
        <row r="6">
          <cell r="A6" t="str">
            <v>Whole mAb</v>
          </cell>
          <cell r="B6" t="str">
            <v>G1</v>
          </cell>
          <cell r="C6" t="str">
            <v>Kappa</v>
          </cell>
          <cell r="D6" t="str">
            <v>Ganglioside GD2</v>
          </cell>
          <cell r="F6" t="str">
            <v>Approved</v>
          </cell>
          <cell r="G6" t="str">
            <v>Memorial Sloan-Kettering Cancer Center;Y-mAbs Therapeutics</v>
          </cell>
          <cell r="H6" t="str">
            <v>Naxitamab</v>
          </cell>
        </row>
        <row r="7">
          <cell r="A7" t="str">
            <v>Whole mAb</v>
          </cell>
          <cell r="B7" t="str">
            <v>G1</v>
          </cell>
          <cell r="C7" t="str">
            <v>Lambda</v>
          </cell>
          <cell r="D7" t="str">
            <v>TNFSF13B/CD257/BAFF</v>
          </cell>
          <cell r="F7" t="str">
            <v>Approved</v>
          </cell>
          <cell r="G7" t="str">
            <v>Assistance Publique Hopitaux de Paris;Cancer Trials Australia;GlaxoSmithKline;Hospital for Special Surgery;Human Genome Sciences;North Shore-Long Island Jewish Health System;University of Alabama at Birmingham;University of Pennsylvania;University of Wisconsin-Madison;Washington University School of Medicine;Cambridge Antibody Technology</v>
          </cell>
          <cell r="H7" t="str">
            <v>Belimumab</v>
          </cell>
        </row>
        <row r="8">
          <cell r="A8" t="str">
            <v>Whole mAb</v>
          </cell>
          <cell r="B8" t="str">
            <v>G4</v>
          </cell>
          <cell r="C8" t="str">
            <v>Kappa</v>
          </cell>
          <cell r="D8" t="str">
            <v>CALCA and CALCB</v>
          </cell>
          <cell r="F8" t="str">
            <v>Approved</v>
          </cell>
          <cell r="G8" t="str">
            <v>Eli Lilly</v>
          </cell>
          <cell r="H8" t="str">
            <v>Galcanezumab</v>
          </cell>
        </row>
        <row r="9">
          <cell r="A9" t="str">
            <v>Whole mAb</v>
          </cell>
          <cell r="B9" t="str">
            <v>G4</v>
          </cell>
          <cell r="C9" t="str">
            <v>Kappa</v>
          </cell>
          <cell r="D9" t="str">
            <v>PDCD1/CD279/PD1</v>
          </cell>
          <cell r="F9" t="str">
            <v>Approved</v>
          </cell>
          <cell r="G9" t="str">
            <v>Henlix Biotech;Shanghai Henlius Biotech</v>
          </cell>
          <cell r="H9" t="str">
            <v>Serplulimab</v>
          </cell>
        </row>
        <row r="10">
          <cell r="A10" t="str">
            <v>Whole mAb</v>
          </cell>
          <cell r="B10" t="str">
            <v>G4</v>
          </cell>
          <cell r="C10" t="str">
            <v>Kappa</v>
          </cell>
          <cell r="D10" t="str">
            <v>TFPI</v>
          </cell>
          <cell r="F10" t="str">
            <v>Approved</v>
          </cell>
          <cell r="G10" t="str">
            <v>Novo Nordisk</v>
          </cell>
          <cell r="H10" t="str">
            <v>Concizumab</v>
          </cell>
        </row>
        <row r="11">
          <cell r="A11" t="str">
            <v>Whole mAb</v>
          </cell>
          <cell r="B11" t="str">
            <v>G2</v>
          </cell>
          <cell r="C11" t="str">
            <v>Kappa</v>
          </cell>
          <cell r="D11" t="str">
            <v>CALCA and CALCB</v>
          </cell>
          <cell r="F11" t="str">
            <v>Approved</v>
          </cell>
          <cell r="G11" t="str">
            <v>Rinat Neuroscience;Teva Pharmaceutical Industries</v>
          </cell>
          <cell r="H11" t="str">
            <v>Fremanezumab</v>
          </cell>
        </row>
        <row r="12">
          <cell r="A12" t="str">
            <v>Whole mAb</v>
          </cell>
          <cell r="B12" t="str">
            <v>G1</v>
          </cell>
          <cell r="C12" t="str">
            <v>Kappa</v>
          </cell>
          <cell r="D12" t="str">
            <v>TNF/TNFA</v>
          </cell>
          <cell r="F12" t="str">
            <v>Approved</v>
          </cell>
          <cell r="G12" t="str">
            <v>Centocor;Janssen Biotech;Merck &amp; Co;Mitsubishi Tanabe Pharma Corporation;National Jewish Medical and Research Center;Xian-Janssen</v>
          </cell>
          <cell r="H12" t="str">
            <v>Infliximab</v>
          </cell>
        </row>
        <row r="13">
          <cell r="A13" t="str">
            <v>Whole mAb</v>
          </cell>
          <cell r="B13" t="str">
            <v>G4</v>
          </cell>
          <cell r="C13" t="str">
            <v>Kappa</v>
          </cell>
          <cell r="D13" t="str">
            <v>PDCD1/CD279/PD1</v>
          </cell>
          <cell r="F13" t="str">
            <v>Approved</v>
          </cell>
          <cell r="G13" t="str">
            <v>Hangzhou Sumgen Biotech;CSPC ZhongQi Pharmaceutical Technology;Hangzhou Sumgen Biotech</v>
          </cell>
          <cell r="H13" t="str">
            <v>Enlonstobart</v>
          </cell>
        </row>
        <row r="14">
          <cell r="A14" t="str">
            <v>Whole mAb</v>
          </cell>
          <cell r="B14" t="str">
            <v>G1</v>
          </cell>
          <cell r="C14" t="str">
            <v>Kappa</v>
          </cell>
          <cell r="D14" t="str">
            <v>PCSK9</v>
          </cell>
          <cell r="F14" t="str">
            <v>Approved</v>
          </cell>
          <cell r="G14" t="str">
            <v>Shanghai Hengrui Pharmaceuticals</v>
          </cell>
          <cell r="H14" t="str">
            <v>Recaticimab</v>
          </cell>
        </row>
        <row r="15">
          <cell r="A15" t="str">
            <v>Whole mAb</v>
          </cell>
          <cell r="B15" t="str">
            <v>G4</v>
          </cell>
          <cell r="C15" t="str">
            <v>Kappa</v>
          </cell>
          <cell r="D15" t="str">
            <v>PDL1/CD274</v>
          </cell>
          <cell r="F15" t="str">
            <v>Approved</v>
          </cell>
          <cell r="G15" t="str">
            <v>Jiangsu Hengrui Medicine;Atridia</v>
          </cell>
          <cell r="H15" t="str">
            <v>Adebrelimab</v>
          </cell>
        </row>
        <row r="16">
          <cell r="A16" t="str">
            <v>Whole mAb ADC</v>
          </cell>
          <cell r="B16" t="str">
            <v>G1</v>
          </cell>
          <cell r="C16" t="str">
            <v>Kappa</v>
          </cell>
          <cell r="D16" t="str">
            <v>TNFRSF8/CD30</v>
          </cell>
          <cell r="F16" t="str">
            <v>Approved</v>
          </cell>
          <cell r="G16" t="str">
            <v>Bristol-Myers Squibb;Celgene Corporation;Dana-Farber Cancer Institute;Fondazione Italiana Linfomi;Fox Chase Cancer Center;Immune Tolerance Network;Lymphoma Academic Research Organisation;Massachusetts General Hospital;National Cancer Institute (USA);National Institute of Allergy and Infectious Diseases;Seattle Genetics;Stanford University;Takeda;Takeda Oncology;UNC Lineberger Comprehensive Cancer Center;Washington University School of Medicine</v>
          </cell>
          <cell r="H16" t="str">
            <v>Brentuximab</v>
          </cell>
        </row>
        <row r="17">
          <cell r="A17" t="str">
            <v>Whole mAb</v>
          </cell>
          <cell r="B17" t="str">
            <v>G1</v>
          </cell>
          <cell r="C17" t="str">
            <v>Kappa</v>
          </cell>
          <cell r="D17" t="str">
            <v>IL5</v>
          </cell>
          <cell r="F17" t="str">
            <v>Approved</v>
          </cell>
          <cell r="G17" t="str">
            <v>GlaxoSmithKline;McMaster University;National Institute of Allergy and Infectious Diseases</v>
          </cell>
          <cell r="H17" t="str">
            <v>Mepolizumab</v>
          </cell>
        </row>
        <row r="18">
          <cell r="A18" t="str">
            <v>Whole mAb</v>
          </cell>
          <cell r="B18" t="str">
            <v>G4</v>
          </cell>
          <cell r="C18" t="str">
            <v>Kappa</v>
          </cell>
          <cell r="D18" t="str">
            <v>PDCD1/CD279/PD1</v>
          </cell>
          <cell r="F18" t="str">
            <v>Approved</v>
          </cell>
          <cell r="G18" t="str">
            <v>AnaptysBio;European Network of Gynaecological Oncological Trial Groups;GlaxoSmithKline;TESARO</v>
          </cell>
          <cell r="H18" t="str">
            <v>Dostarlimab</v>
          </cell>
        </row>
        <row r="19">
          <cell r="A19" t="str">
            <v>Whole mAb</v>
          </cell>
          <cell r="B19" t="str">
            <v>G1</v>
          </cell>
          <cell r="C19" t="str">
            <v>Kappa</v>
          </cell>
          <cell r="D19" t="str">
            <v>ITGA4B7</v>
          </cell>
          <cell r="F19" t="str">
            <v>Approved</v>
          </cell>
          <cell r="G19" t="str">
            <v>Medical College of Wisconsin;Millennium Pharmaceuticals;Takeda;Takeda Oncology</v>
          </cell>
          <cell r="H19" t="str">
            <v>Vedolizumab</v>
          </cell>
        </row>
        <row r="20">
          <cell r="A20" t="str">
            <v>Whole mAb</v>
          </cell>
          <cell r="B20" t="str">
            <v>G4</v>
          </cell>
          <cell r="C20" t="str">
            <v>Kappa</v>
          </cell>
          <cell r="D20" t="str">
            <v>PDCD1/CD279/PD1</v>
          </cell>
          <cell r="F20" t="str">
            <v>Approved</v>
          </cell>
          <cell r="G20" t="str">
            <v>Sinocelltech</v>
          </cell>
          <cell r="H20" t="str">
            <v>Finotonlimab</v>
          </cell>
        </row>
        <row r="21">
          <cell r="A21" t="str">
            <v>Whole mAb</v>
          </cell>
          <cell r="B21" t="str">
            <v>G4</v>
          </cell>
          <cell r="C21" t="str">
            <v>Lambda</v>
          </cell>
          <cell r="D21" t="str">
            <v>F12</v>
          </cell>
          <cell r="F21" t="str">
            <v>Approved</v>
          </cell>
          <cell r="G21" t="str">
            <v>CSL Behring</v>
          </cell>
          <cell r="H21" t="str">
            <v>Garadacimab</v>
          </cell>
        </row>
        <row r="22">
          <cell r="A22" t="str">
            <v>Whole mAb</v>
          </cell>
          <cell r="B22" t="str">
            <v>G1</v>
          </cell>
          <cell r="C22" t="str">
            <v>Kappa</v>
          </cell>
          <cell r="D22" t="str">
            <v>IL2RA/CD25</v>
          </cell>
          <cell r="F22" t="str">
            <v>Approved</v>
          </cell>
          <cell r="G22" t="str">
            <v>AbbVie;Biogen;Dana-Farber Cancer Institute;National Cancer Institute (USA);PDL BioPharma</v>
          </cell>
          <cell r="H22" t="str">
            <v>Daclizumab</v>
          </cell>
        </row>
        <row r="23">
          <cell r="A23" t="str">
            <v>Whole mAb</v>
          </cell>
          <cell r="B23" t="str">
            <v>G4</v>
          </cell>
          <cell r="C23" t="str">
            <v>Kappa</v>
          </cell>
          <cell r="D23" t="str">
            <v>ITGA4/CD49D</v>
          </cell>
          <cell r="F23" t="str">
            <v>Approved</v>
          </cell>
          <cell r="G23" t="str">
            <v>Biogen;Biogen Idec;Elan Corporation;Perrigo</v>
          </cell>
          <cell r="H23" t="str">
            <v>Natalizumab</v>
          </cell>
        </row>
        <row r="24">
          <cell r="A24" t="str">
            <v>Whole mAb</v>
          </cell>
          <cell r="B24" t="str">
            <v>G2</v>
          </cell>
          <cell r="C24" t="str">
            <v>Kappa</v>
          </cell>
          <cell r="D24" t="str">
            <v>CTLA4/CD152</v>
          </cell>
          <cell r="F24" t="str">
            <v>Approved</v>
          </cell>
          <cell r="G24" t="str">
            <v>AIO Studien gGmbH;Amgen;ARCAGY/GINECO Group;AstraZeneca;Azienda Ospedaliera Universitaria Senese;Canadian Cancer Trials Group;Charite - Universitatsmedizin Berlin;Dana-Farber Cancer Institute;Fondazione IRCCS Istituto Nazionale dei Tumori;Grupo Espanol de Tumores Neuroendocrinos;Hoosier Cancer Research Network;Immunocore;Institute Gustave-Roussy;Kyoto Breast Cancer Research Network;M. D. Anderson Cancer Center;MedImmune;Memorial Sloan-Kettering Cancer Center;National Cancer Institute (USA);Northwestern University;Pfizer;Seoul National University Hospital;UNICANCER;University College London;University of Maryland Greenbaum Cancer Center;Yonsei University College of Medicine</v>
          </cell>
          <cell r="H24" t="str">
            <v>Tremelimumab</v>
          </cell>
        </row>
        <row r="25">
          <cell r="A25" t="str">
            <v>Whole mAb</v>
          </cell>
          <cell r="B25" t="str">
            <v>G1</v>
          </cell>
          <cell r="C25" t="str">
            <v>Kappa</v>
          </cell>
          <cell r="D25" t="str">
            <v>IL1B</v>
          </cell>
          <cell r="F25" t="str">
            <v>Approved</v>
          </cell>
          <cell r="G25" t="str">
            <v>Charite - Universitatsmedizin Berlin;Novartis;Triemli hospital;University Hospital Tubingen;University Hospital Zurich</v>
          </cell>
          <cell r="H25" t="str">
            <v>Canakinumab</v>
          </cell>
        </row>
        <row r="26">
          <cell r="A26" t="str">
            <v>Whole mAb</v>
          </cell>
          <cell r="B26" t="str">
            <v>G1</v>
          </cell>
          <cell r="C26" t="str">
            <v>Kappa</v>
          </cell>
          <cell r="D26" t="str">
            <v>Respiratory Syncytial Virus</v>
          </cell>
          <cell r="F26" t="str">
            <v>Approved</v>
          </cell>
          <cell r="G26" t="str">
            <v>AIMM Therapeutics;MedImmune</v>
          </cell>
          <cell r="H26" t="str">
            <v>Nirsevimab</v>
          </cell>
        </row>
        <row r="27">
          <cell r="A27" t="str">
            <v>One Chain from Bispecific</v>
          </cell>
          <cell r="B27" t="str">
            <v>G1;G1</v>
          </cell>
          <cell r="C27" t="str">
            <v>Kappa;Kappa</v>
          </cell>
          <cell r="D27" t="str">
            <v>EGFR/ERBB1/HER1;MET/HGFR</v>
          </cell>
          <cell r="F27" t="str">
            <v>Approved</v>
          </cell>
          <cell r="G27" t="str">
            <v>Genmab;Janssen Research &amp; Development</v>
          </cell>
          <cell r="H27" t="str">
            <v>Amivantamab 1</v>
          </cell>
        </row>
        <row r="28">
          <cell r="A28" t="str">
            <v>One Chain from Bispecific</v>
          </cell>
          <cell r="B28" t="str">
            <v>G1;G1</v>
          </cell>
          <cell r="C28" t="str">
            <v>Kappa;Kappa</v>
          </cell>
          <cell r="D28" t="str">
            <v>EGFR/ERBB1/HER1;MET/HGFR</v>
          </cell>
          <cell r="F28" t="str">
            <v>Approved</v>
          </cell>
          <cell r="G28" t="str">
            <v>Genmab;Janssen Research &amp; Development</v>
          </cell>
          <cell r="H28" t="str">
            <v>Amivantamab 2</v>
          </cell>
        </row>
        <row r="29">
          <cell r="A29" t="str">
            <v>Whole mAb Fusion</v>
          </cell>
          <cell r="B29" t="str">
            <v>G1</v>
          </cell>
          <cell r="C29" t="str">
            <v>Lambda</v>
          </cell>
          <cell r="D29" t="str">
            <v>PDL1/CD274</v>
          </cell>
          <cell r="E29" t="str">
            <v>IgG1 with extracellular domain of TGF-B receptro 2 fused to heavy chain c term</v>
          </cell>
          <cell r="F29" t="str">
            <v>Approved</v>
          </cell>
          <cell r="G29" t="str">
            <v>AIO Studien gGmbH;Array BioPharma;Chong Kun Dang;Dana-Farber Cancer Institute;Debiopharm;eFFECTOR Therapeutics;EMD Serono;Forty Seven;Fred Hutchinson Cancer Research Center;Gachon University Gil Medical Center;Hellenic Cooperative Oncology Group;Hospices Civils de Lyon;Johannes Gutenberg-University Mainz;M. D. Anderson Cancer Center;Merck KGaA;National Cancer Institute (USA);National Cancer Institute Slovakia;Netherlands Cancer Institute;Pfizer;Sidney Kimmel Comprehensive Cancer Center at Johns Hopkins;Syndax Pharmaceuticals;Transgene;University College London;University of Birmingham;University of California San Diego;University of Iowa;Vaccinex;Vanderbilt-Ingram Cancer Center;VAXIMM;Verastem Oncology;Washington University School of Medicine</v>
          </cell>
          <cell r="H29" t="str">
            <v>Bintrafusp</v>
          </cell>
        </row>
        <row r="30">
          <cell r="A30" t="str">
            <v>Whole mAb Fusion</v>
          </cell>
          <cell r="B30" t="str">
            <v>G1</v>
          </cell>
          <cell r="C30" t="str">
            <v>Kappa</v>
          </cell>
          <cell r="D30" t="str">
            <v>TFRC/CD71</v>
          </cell>
          <cell r="E30" t="str">
            <v>IgG with iduronate-2-sulfatase (IDS) fused to c term on antibody heavy chian</v>
          </cell>
          <cell r="F30" t="str">
            <v>Approved</v>
          </cell>
          <cell r="G30" t="str">
            <v>JCR Pharmaceuticals</v>
          </cell>
          <cell r="H30" t="str">
            <v>Pabinafusp</v>
          </cell>
        </row>
        <row r="31">
          <cell r="A31" t="str">
            <v>Bispecific mAb</v>
          </cell>
          <cell r="B31" t="str">
            <v>G1;G1</v>
          </cell>
          <cell r="C31" t="str">
            <v>Kappa;Kappa</v>
          </cell>
          <cell r="D31" t="str">
            <v>ERBB2/CD340/HER2;ERBB2/CD340/HER2</v>
          </cell>
          <cell r="E31" t="str">
            <v>Azymetric ™ biparatopic bispecific IgG targeted two distinct Her2 epitopes ECD2 and ECD4</v>
          </cell>
          <cell r="F31" t="str">
            <v>Approved</v>
          </cell>
          <cell r="G31" t="str">
            <v>Zymeworks</v>
          </cell>
          <cell r="H31" t="str">
            <v>Zanidatamab</v>
          </cell>
        </row>
        <row r="32">
          <cell r="A32" t="str">
            <v>Whole mAb Fusion</v>
          </cell>
          <cell r="B32" t="str">
            <v>G1</v>
          </cell>
          <cell r="C32" t="str">
            <v>Kappa</v>
          </cell>
          <cell r="D32" t="str">
            <v>SIRPA</v>
          </cell>
          <cell r="F32" t="str">
            <v>Phase-I/II</v>
          </cell>
          <cell r="G32" t="str">
            <v>ImmuneOnco Biopharma</v>
          </cell>
          <cell r="H32" t="str">
            <v>Vislarafusp</v>
          </cell>
        </row>
        <row r="33">
          <cell r="A33" t="str">
            <v>Bispecific mAb</v>
          </cell>
          <cell r="B33" t="str">
            <v>G1;G1</v>
          </cell>
          <cell r="C33" t="str">
            <v>Kappa;Kappa</v>
          </cell>
          <cell r="D33" t="str">
            <v>PcrV type III secretion system;Polysaccharide synthesis locus (Pseudomonas)</v>
          </cell>
          <cell r="F33" t="str">
            <v>Phase-II</v>
          </cell>
          <cell r="G33" t="str">
            <v>MedImmune</v>
          </cell>
          <cell r="H33" t="str">
            <v>Gremubamab</v>
          </cell>
        </row>
        <row r="34">
          <cell r="A34" t="str">
            <v>Bispecific mAb</v>
          </cell>
          <cell r="B34" t="str">
            <v>G4</v>
          </cell>
          <cell r="C34" t="str">
            <v>Kappa;Kappa</v>
          </cell>
          <cell r="D34" t="str">
            <v>EGFR/ERBB1/HER1;CD28</v>
          </cell>
          <cell r="E34" t="str">
            <v>IgG like bispecific, common light chain. Veloci-BI ™, one Fc contains chimeric fc that ablates pro A and is purified out</v>
          </cell>
          <cell r="F34" t="str">
            <v>Phase-II</v>
          </cell>
          <cell r="G34" t="str">
            <v>Regeneron</v>
          </cell>
          <cell r="H34" t="str">
            <v>Marlotamig</v>
          </cell>
        </row>
        <row r="35">
          <cell r="A35" t="str">
            <v>Whole mAb Fusion</v>
          </cell>
          <cell r="B35" t="str">
            <v>G1</v>
          </cell>
          <cell r="C35" t="str">
            <v>Kappa</v>
          </cell>
          <cell r="D35" t="str">
            <v>Non-Binding</v>
          </cell>
          <cell r="E35" t="str">
            <v>non-binding IgG1 fused to IL-2 mutein on heavy chain C term</v>
          </cell>
          <cell r="F35" t="str">
            <v>Phase-II</v>
          </cell>
          <cell r="G35" t="str">
            <v>Roche</v>
          </cell>
          <cell r="H35" t="str">
            <v>Melredableukin</v>
          </cell>
        </row>
        <row r="36">
          <cell r="A36" t="str">
            <v>Bispecific Mixed mAb and scFv</v>
          </cell>
          <cell r="B36" t="str">
            <v>G1;na</v>
          </cell>
          <cell r="C36" t="str">
            <v>Kappa;Lambda</v>
          </cell>
          <cell r="D36" t="str">
            <v>EGFR/ERBB1/HER1;ERBB3/HER3</v>
          </cell>
          <cell r="F36" t="str">
            <v>Phase-III</v>
          </cell>
          <cell r="G36" t="str">
            <v>Systimmune</v>
          </cell>
          <cell r="H36" t="str">
            <v>Izalontamab</v>
          </cell>
        </row>
        <row r="37">
          <cell r="A37" t="str">
            <v>Bispecific mAb</v>
          </cell>
          <cell r="B37" t="str">
            <v>G1;G1</v>
          </cell>
          <cell r="C37" t="str">
            <v>Kappa;Lambda</v>
          </cell>
          <cell r="D37" t="str">
            <v>PDCD1/CD279/PD1;TIGIT/WUCAM/VSTM3</v>
          </cell>
          <cell r="E37" t="str">
            <v>knob in hole IgG1, engineered CH1 to CL disulfide, one side of heavy pro A ablated</v>
          </cell>
          <cell r="F37" t="str">
            <v>Phase-III</v>
          </cell>
          <cell r="G37" t="str">
            <v>AstraZeneca</v>
          </cell>
          <cell r="H37" t="str">
            <v>Rilvegostomig</v>
          </cell>
        </row>
        <row r="48">
          <cell r="A48" t="str">
            <v>INN</v>
          </cell>
          <cell r="B48" t="str">
            <v>Type</v>
          </cell>
          <cell r="C48" t="str">
            <v>CH1 Isotype</v>
          </cell>
          <cell r="D48" t="str">
            <v>LC Isotype</v>
          </cell>
          <cell r="E48" t="str">
            <v>Target</v>
          </cell>
          <cell r="F48" t="str">
            <v>Highest Clinical Trial (Feb '25)</v>
          </cell>
          <cell r="G48" t="str">
            <v>Companies</v>
          </cell>
        </row>
        <row r="49">
          <cell r="A49" t="str">
            <v>Donanemab</v>
          </cell>
          <cell r="B49" t="str">
            <v>Whole mAb</v>
          </cell>
          <cell r="C49" t="str">
            <v>G1</v>
          </cell>
          <cell r="D49" t="str">
            <v>Kappa</v>
          </cell>
          <cell r="E49" t="str">
            <v>APP</v>
          </cell>
          <cell r="F49" t="str">
            <v>Approved</v>
          </cell>
          <cell r="G49" t="str">
            <v>Eli Lilly</v>
          </cell>
        </row>
        <row r="50">
          <cell r="A50" t="str">
            <v>Mirikizumab</v>
          </cell>
          <cell r="B50" t="str">
            <v>Whole mAb</v>
          </cell>
          <cell r="C50" t="str">
            <v>G4</v>
          </cell>
          <cell r="D50" t="str">
            <v>Kappa</v>
          </cell>
          <cell r="E50" t="str">
            <v>IL23A</v>
          </cell>
          <cell r="F50" t="str">
            <v>Approved</v>
          </cell>
          <cell r="G50" t="str">
            <v>Eli Lilly</v>
          </cell>
        </row>
        <row r="51">
          <cell r="A51" t="str">
            <v>Bimekizumab</v>
          </cell>
          <cell r="B51" t="str">
            <v>Whole mAb</v>
          </cell>
          <cell r="C51" t="str">
            <v>G1</v>
          </cell>
          <cell r="D51" t="str">
            <v>Kappa</v>
          </cell>
          <cell r="E51" t="str">
            <v>IL17A</v>
          </cell>
          <cell r="F51" t="str">
            <v>Approved</v>
          </cell>
          <cell r="G51" t="str">
            <v>UCB</v>
          </cell>
        </row>
        <row r="52">
          <cell r="A52" t="str">
            <v>Burosumab</v>
          </cell>
          <cell r="B52" t="str">
            <v>Whole mAb</v>
          </cell>
          <cell r="C52" t="str">
            <v>G1</v>
          </cell>
          <cell r="D52" t="str">
            <v>Kappa</v>
          </cell>
          <cell r="E52" t="str">
            <v>FGF23</v>
          </cell>
          <cell r="F52" t="str">
            <v>Approved</v>
          </cell>
          <cell r="G52" t="str">
            <v xml:space="preserve">Kyowa Hakko Kirin;Ultragenyx Pharmaceutical </v>
          </cell>
        </row>
        <row r="53">
          <cell r="A53" t="str">
            <v>Belimumab</v>
          </cell>
          <cell r="B53" t="str">
            <v>Whole mAb</v>
          </cell>
          <cell r="C53" t="str">
            <v>G1</v>
          </cell>
          <cell r="D53" t="str">
            <v>Lambda</v>
          </cell>
          <cell r="E53" t="str">
            <v>TNFSF13B/CD257/BAFF</v>
          </cell>
          <cell r="F53" t="str">
            <v>Approved</v>
          </cell>
          <cell r="G53" t="str">
            <v>Assistance Publique Hopitaux de Paris;Cancer Trials Australia;GlaxoSmithKline;Hospital for Special Surgery;Human Genome Sciences;North Shore-Long Island Jewish Health System;University of Alabama at Birmingham;University of Pennsylvania;University of Wisconsin-Madison;Washington University School of Medicine;Cambridge Antibody Technology</v>
          </cell>
        </row>
        <row r="54">
          <cell r="A54" t="str">
            <v>Galcanezumab</v>
          </cell>
          <cell r="B54" t="str">
            <v>Whole mAb</v>
          </cell>
          <cell r="C54" t="str">
            <v>G4</v>
          </cell>
          <cell r="D54" t="str">
            <v>Kappa</v>
          </cell>
          <cell r="E54" t="str">
            <v>CALCA and CALCB</v>
          </cell>
          <cell r="F54" t="str">
            <v>Approved</v>
          </cell>
          <cell r="G54" t="str">
            <v>Eli Lilly</v>
          </cell>
        </row>
        <row r="55">
          <cell r="A55" t="str">
            <v>Serplulimab</v>
          </cell>
          <cell r="B55" t="str">
            <v>Whole mAb</v>
          </cell>
          <cell r="C55" t="str">
            <v>G4</v>
          </cell>
          <cell r="D55" t="str">
            <v>Kappa</v>
          </cell>
          <cell r="E55" t="str">
            <v>PDCD1/CD279/PD1</v>
          </cell>
          <cell r="F55" t="str">
            <v>Approved</v>
          </cell>
          <cell r="G55" t="str">
            <v>Henlix Biotech;Shanghai Henlius Biotech</v>
          </cell>
        </row>
        <row r="56">
          <cell r="A56" t="str">
            <v>Concizumab</v>
          </cell>
          <cell r="B56" t="str">
            <v>Whole mAb</v>
          </cell>
          <cell r="C56" t="str">
            <v>G4</v>
          </cell>
          <cell r="D56" t="str">
            <v>Kappa</v>
          </cell>
          <cell r="E56" t="str">
            <v>TFPI</v>
          </cell>
          <cell r="F56" t="str">
            <v>Approved</v>
          </cell>
          <cell r="G56" t="str">
            <v>Novo Nordisk</v>
          </cell>
        </row>
        <row r="57">
          <cell r="A57" t="str">
            <v>Fremanezumab</v>
          </cell>
          <cell r="B57" t="str">
            <v>Whole mAb</v>
          </cell>
          <cell r="C57" t="str">
            <v>G2</v>
          </cell>
          <cell r="D57" t="str">
            <v>Kappa</v>
          </cell>
          <cell r="E57" t="str">
            <v>CALCA and CALCB</v>
          </cell>
          <cell r="F57" t="str">
            <v>Approved</v>
          </cell>
          <cell r="G57" t="str">
            <v>Rinat Neuroscience;Teva Pharmaceutical Industries</v>
          </cell>
        </row>
        <row r="58">
          <cell r="A58" t="str">
            <v>Infliximab</v>
          </cell>
          <cell r="B58" t="str">
            <v>Whole mAb</v>
          </cell>
          <cell r="C58" t="str">
            <v>G1</v>
          </cell>
          <cell r="D58" t="str">
            <v>Kappa</v>
          </cell>
          <cell r="E58" t="str">
            <v>TNF/TNFA</v>
          </cell>
          <cell r="F58" t="str">
            <v>Approved</v>
          </cell>
          <cell r="G58" t="str">
            <v>Centocor;Janssen Biotech;Merck &amp; Co;Mitsubishi Tanabe Pharma Corporation;National Jewish Medical and Research Center;Xian-Janssen</v>
          </cell>
        </row>
        <row r="59">
          <cell r="A59" t="str">
            <v>Enlonstobart</v>
          </cell>
          <cell r="B59" t="str">
            <v>Whole mAb</v>
          </cell>
          <cell r="C59" t="str">
            <v>G4</v>
          </cell>
          <cell r="D59" t="str">
            <v>Kappa</v>
          </cell>
          <cell r="E59" t="str">
            <v>PDCD1/CD279/PD1</v>
          </cell>
          <cell r="F59" t="str">
            <v>Approved</v>
          </cell>
          <cell r="G59" t="str">
            <v>Hangzhou Sumgen Biotech;CSPC ZhongQi Pharmaceutical Technology;Hangzhou Sumgen Biotech</v>
          </cell>
        </row>
        <row r="60">
          <cell r="A60" t="str">
            <v>Brentuximab</v>
          </cell>
          <cell r="B60" t="str">
            <v>Whole mAb ADC</v>
          </cell>
          <cell r="C60" t="str">
            <v>G1</v>
          </cell>
          <cell r="D60" t="str">
            <v>Kappa</v>
          </cell>
          <cell r="E60" t="str">
            <v>TNFRSF8/CD30</v>
          </cell>
          <cell r="F60" t="str">
            <v>Approved</v>
          </cell>
          <cell r="G60" t="str">
            <v>Bristol-Myers Squibb;Celgene Corporation;Dana-Farber Cancer Institute;Fondazione Italiana Linfomi;Fox Chase Cancer Center;Immune Tolerance Network;Lymphoma Academic Research Organisation;Massachusetts General Hospital;National Cancer Institute (USA);National Institute of Allergy and Infectious Diseases;Seattle Genetics;Stanford University;Takeda;Takeda Oncology;UNC Lineberger Comprehensive Cancer Center;Washington University School of Medicine</v>
          </cell>
        </row>
        <row r="61">
          <cell r="A61" t="str">
            <v>Dostarlimab</v>
          </cell>
          <cell r="B61" t="str">
            <v>Whole mAb</v>
          </cell>
          <cell r="C61" t="str">
            <v>G4</v>
          </cell>
          <cell r="D61" t="str">
            <v>Kappa</v>
          </cell>
          <cell r="E61" t="str">
            <v>PDCD1/CD279/PD1</v>
          </cell>
          <cell r="F61" t="str">
            <v>Approved</v>
          </cell>
          <cell r="G61" t="str">
            <v>AnaptysBio;European Network of Gynaecological Oncological Trial Groups;GlaxoSmithKline;TESARO</v>
          </cell>
        </row>
        <row r="62">
          <cell r="A62" t="str">
            <v>Vedolizumab</v>
          </cell>
          <cell r="B62" t="str">
            <v>Whole mAb</v>
          </cell>
          <cell r="C62" t="str">
            <v>G1</v>
          </cell>
          <cell r="D62" t="str">
            <v>Kappa</v>
          </cell>
          <cell r="E62" t="str">
            <v>ITGA4B7</v>
          </cell>
          <cell r="F62" t="str">
            <v>Approved</v>
          </cell>
          <cell r="G62" t="str">
            <v>Medical College of Wisconsin;Millennium Pharmaceuticals;Takeda;Takeda Oncology</v>
          </cell>
        </row>
        <row r="63">
          <cell r="A63" t="str">
            <v>Daclizumab</v>
          </cell>
          <cell r="B63" t="str">
            <v>Whole mAb</v>
          </cell>
          <cell r="C63" t="str">
            <v>G1</v>
          </cell>
          <cell r="D63" t="str">
            <v>Kappa</v>
          </cell>
          <cell r="E63" t="str">
            <v>IL2RA/CD25</v>
          </cell>
          <cell r="F63" t="str">
            <v>Approved</v>
          </cell>
          <cell r="G63" t="str">
            <v>AbbVie;Biogen;Dana-Farber Cancer Institute;National Cancer Institute (USA);PDL BioPharma</v>
          </cell>
        </row>
        <row r="64">
          <cell r="A64" t="str">
            <v>Natalizumab</v>
          </cell>
          <cell r="B64" t="str">
            <v>Whole mAb</v>
          </cell>
          <cell r="C64" t="str">
            <v>G4</v>
          </cell>
          <cell r="D64" t="str">
            <v>Kappa</v>
          </cell>
          <cell r="E64" t="str">
            <v>ITGA4/CD49D</v>
          </cell>
          <cell r="F64" t="str">
            <v>Approved</v>
          </cell>
          <cell r="G64" t="str">
            <v>Biogen;Biogen Idec;Elan Corporation;Perrigo</v>
          </cell>
        </row>
        <row r="65">
          <cell r="A65" t="str">
            <v>Tremelimumab</v>
          </cell>
          <cell r="B65" t="str">
            <v>Whole mAb</v>
          </cell>
          <cell r="C65" t="str">
            <v>G2</v>
          </cell>
          <cell r="D65" t="str">
            <v>Kappa</v>
          </cell>
          <cell r="E65" t="str">
            <v>CTLA4/CD152</v>
          </cell>
          <cell r="F65" t="str">
            <v>Approved</v>
          </cell>
          <cell r="G65" t="str">
            <v>AIO Studien gGmbH;Amgen;ARCAGY/GINECO Group;AstraZeneca;Azienda Ospedaliera Universitaria Senese;Canadian Cancer Trials Group;Charite - Universitatsmedizin Berlin;Dana-Farber Cancer Institute;Fondazione IRCCS Istituto Nazionale dei Tumori;Grupo Espanol de Tumores Neuroendocrinos;Hoosier Cancer Research Network;Immunocore;Institute Gustave-Roussy;Kyoto Breast Cancer Research Network;M. D. Anderson Cancer Center;MedImmune;Memorial Sloan-Kettering Cancer Center;National Cancer Institute (USA);Northwestern University;Pfizer;Seoul National University Hospital;UNICANCER;University College London;University of Maryland Greenbaum Cancer Center;Yonsei University College of Medicine</v>
          </cell>
        </row>
        <row r="66">
          <cell r="A66" t="str">
            <v>Canakinumab</v>
          </cell>
          <cell r="B66" t="str">
            <v>Whole mAb</v>
          </cell>
          <cell r="C66" t="str">
            <v>G1</v>
          </cell>
          <cell r="D66" t="str">
            <v>Kappa</v>
          </cell>
          <cell r="E66" t="str">
            <v>IL1B</v>
          </cell>
          <cell r="F66" t="str">
            <v>Approved</v>
          </cell>
          <cell r="G66" t="str">
            <v>Charite - Universitatsmedizin Berlin;Novartis;Triemli hospital;University Hospital Tubingen;University Hospital Zurich</v>
          </cell>
        </row>
        <row r="67">
          <cell r="A67" t="str">
            <v>Nirsevimab</v>
          </cell>
          <cell r="B67" t="str">
            <v>Whole mAb</v>
          </cell>
          <cell r="C67" t="str">
            <v>G1</v>
          </cell>
          <cell r="D67" t="str">
            <v>Kappa</v>
          </cell>
          <cell r="E67" t="str">
            <v>Respiratory Syncytial Virus</v>
          </cell>
          <cell r="F67" t="str">
            <v>Approved</v>
          </cell>
          <cell r="G67" t="str">
            <v>AIMM Therapeutics;MedImmune</v>
          </cell>
        </row>
        <row r="68">
          <cell r="A68" t="str">
            <v>Amivantamab 1</v>
          </cell>
          <cell r="B68" t="str">
            <v>One Chain from Bispecific</v>
          </cell>
          <cell r="C68" t="str">
            <v>G1;G1</v>
          </cell>
          <cell r="D68" t="str">
            <v>Kappa;Kappa</v>
          </cell>
          <cell r="E68" t="str">
            <v>EGFR/ERBB1/HER1;MET/HGFR</v>
          </cell>
          <cell r="F68" t="str">
            <v>Approved</v>
          </cell>
          <cell r="G68" t="str">
            <v>Genmab;Janssen Research &amp; Development</v>
          </cell>
        </row>
        <row r="69">
          <cell r="A69" t="str">
            <v>Amivantamab 2</v>
          </cell>
          <cell r="B69" t="str">
            <v>One Chain from Bispecific</v>
          </cell>
          <cell r="C69" t="str">
            <v>G1;G1</v>
          </cell>
          <cell r="D69" t="str">
            <v>Kappa;Kappa</v>
          </cell>
          <cell r="E69" t="str">
            <v>EGFR/ERBB1/HER1;MET/HGFR</v>
          </cell>
          <cell r="F69" t="str">
            <v>Approved</v>
          </cell>
          <cell r="G69" t="str">
            <v>Genmab;Janssen Research &amp; Development</v>
          </cell>
        </row>
        <row r="70">
          <cell r="A70" t="str">
            <v>Bintrafusp</v>
          </cell>
          <cell r="B70" t="str">
            <v>Whole mAb Fusion</v>
          </cell>
          <cell r="C70" t="str">
            <v>G1</v>
          </cell>
          <cell r="D70" t="str">
            <v>Lambda</v>
          </cell>
          <cell r="E70" t="str">
            <v>PDL1/CD274</v>
          </cell>
          <cell r="F70" t="str">
            <v>Approved</v>
          </cell>
          <cell r="G70" t="str">
            <v>AIO Studien gGmbH;Array BioPharma;Chong Kun Dang;Dana-Farber Cancer Institute;Debiopharm;eFFECTOR Therapeutics;EMD Serono;Forty Seven;Fred Hutchinson Cancer Research Center;Gachon University Gil Medical Center;Hellenic Cooperative Oncology Group;Hospices Civils de Lyon;Johannes Gutenberg-University Mainz;M. D. Anderson Cancer Center;Merck KGaA;National Cancer Institute (USA);National Cancer Institute Slovakia;Netherlands Cancer Institute;Pfizer;Sidney Kimmel Comprehensive Cancer Center at Johns Hopkins;Syndax Pharmaceuticals;Transgene;University College London;University of Birmingham;University of California San Diego;University of Iowa;Vaccinex;Vanderbilt-Ingram Cancer Center;VAXIMM;Verastem Oncology;Washington University School of Medicine</v>
          </cell>
        </row>
        <row r="71">
          <cell r="A71" t="str">
            <v>Pabinafusp</v>
          </cell>
          <cell r="B71" t="str">
            <v>Whole mAb Fusion</v>
          </cell>
          <cell r="C71" t="str">
            <v>G1</v>
          </cell>
          <cell r="D71" t="str">
            <v>Kappa</v>
          </cell>
          <cell r="E71" t="str">
            <v>TFRC/CD71</v>
          </cell>
          <cell r="F71" t="str">
            <v>Approved</v>
          </cell>
          <cell r="G71" t="str">
            <v>JCR Pharmaceuticals</v>
          </cell>
        </row>
        <row r="72">
          <cell r="A72" t="str">
            <v>Zanidatamab</v>
          </cell>
          <cell r="B72" t="str">
            <v>Bispecific mAb</v>
          </cell>
          <cell r="C72" t="str">
            <v>G1;G1</v>
          </cell>
          <cell r="D72" t="str">
            <v>Kappa;Kappa</v>
          </cell>
          <cell r="E72" t="str">
            <v>ERBB2/CD340/HER2;ERBB2/CD340/HER2</v>
          </cell>
          <cell r="F72" t="str">
            <v>Approved</v>
          </cell>
          <cell r="G72" t="str">
            <v>Zymeworks</v>
          </cell>
        </row>
        <row r="73">
          <cell r="A73" t="str">
            <v>Marlotamig</v>
          </cell>
          <cell r="B73" t="str">
            <v>Bispecific mAb</v>
          </cell>
          <cell r="C73" t="str">
            <v>G4</v>
          </cell>
          <cell r="D73" t="str">
            <v>Kappa;Kappa</v>
          </cell>
          <cell r="E73" t="str">
            <v>EGFR/ERBB1/HER1;CD28</v>
          </cell>
          <cell r="F73" t="str">
            <v>Phase-II</v>
          </cell>
          <cell r="G73" t="str">
            <v>Regeneron</v>
          </cell>
        </row>
        <row r="74">
          <cell r="A74" t="str">
            <v>Melredableukin</v>
          </cell>
          <cell r="B74" t="str">
            <v>Whole mAb Fusion</v>
          </cell>
          <cell r="C74" t="str">
            <v>G1</v>
          </cell>
          <cell r="D74" t="str">
            <v>Kappa</v>
          </cell>
          <cell r="E74" t="str">
            <v>Non-Binding</v>
          </cell>
          <cell r="F74" t="str">
            <v>Phase-II</v>
          </cell>
          <cell r="G74" t="str">
            <v>Roche</v>
          </cell>
        </row>
        <row r="75">
          <cell r="A75" t="str">
            <v>Rilvegostomig</v>
          </cell>
          <cell r="B75" t="str">
            <v>Bispecific mAb</v>
          </cell>
          <cell r="C75" t="str">
            <v>G1;G1</v>
          </cell>
          <cell r="D75" t="str">
            <v>Kappa;Lambda</v>
          </cell>
          <cell r="E75" t="str">
            <v>PDCD1/CD279/PD1;TIGIT/WUCAM/VSTM3</v>
          </cell>
          <cell r="F75" t="str">
            <v>Phase-III</v>
          </cell>
          <cell r="G75" t="str">
            <v>AstraZeneca</v>
          </cell>
        </row>
        <row r="85">
          <cell r="B85" t="str">
            <v>Plate1</v>
          </cell>
          <cell r="C85" t="str">
            <v>Plate1</v>
          </cell>
          <cell r="D85" t="str">
            <v>Plate2</v>
          </cell>
          <cell r="E85" t="str">
            <v>Plate2</v>
          </cell>
          <cell r="G85" t="str">
            <v>Plate3</v>
          </cell>
          <cell r="H85" t="str">
            <v>Palte3</v>
          </cell>
        </row>
        <row r="86">
          <cell r="A86" t="str">
            <v>Donanemab</v>
          </cell>
          <cell r="B86" t="str">
            <v>Donanemab-Parental</v>
          </cell>
          <cell r="C86" t="str">
            <v>A1</v>
          </cell>
          <cell r="D86" t="str">
            <v>Donanemab-Parental</v>
          </cell>
          <cell r="E86" t="str">
            <v>G7</v>
          </cell>
          <cell r="F86" t="str">
            <v>Normalized-DNA-1</v>
          </cell>
          <cell r="G86" t="str">
            <v>Donanemab-Parental</v>
          </cell>
          <cell r="H86" t="str">
            <v>F2</v>
          </cell>
        </row>
        <row r="87">
          <cell r="A87" t="str">
            <v>Mirikizumab</v>
          </cell>
          <cell r="B87" t="str">
            <v>Mirikizumab-Parental</v>
          </cell>
          <cell r="C87" t="str">
            <v>B1</v>
          </cell>
          <cell r="D87" t="str">
            <v>Mirikizumab-Parental</v>
          </cell>
          <cell r="E87" t="str">
            <v>H7</v>
          </cell>
          <cell r="F87" t="str">
            <v>Normalized-DNA-1</v>
          </cell>
          <cell r="G87" t="str">
            <v>Mirikizumab-Parental</v>
          </cell>
          <cell r="H87" t="str">
            <v>G2</v>
          </cell>
        </row>
        <row r="88">
          <cell r="A88" t="str">
            <v>Bimekizumab</v>
          </cell>
          <cell r="B88" t="str">
            <v>Bimekizumab-Parental</v>
          </cell>
          <cell r="C88" t="str">
            <v>C1</v>
          </cell>
          <cell r="D88" t="str">
            <v>Bimekizumab-Parental</v>
          </cell>
          <cell r="E88" t="str">
            <v>A8</v>
          </cell>
          <cell r="F88" t="str">
            <v>Normalized-DNA-1</v>
          </cell>
          <cell r="G88" t="str">
            <v>Bimekizumab-Parental</v>
          </cell>
          <cell r="H88" t="str">
            <v>H2</v>
          </cell>
        </row>
        <row r="89">
          <cell r="A89" t="str">
            <v>Burosumab</v>
          </cell>
          <cell r="B89" t="str">
            <v>Burosumab-Parental</v>
          </cell>
          <cell r="C89" t="str">
            <v>D1</v>
          </cell>
          <cell r="D89" t="str">
            <v>Burosumab-Parental</v>
          </cell>
          <cell r="E89" t="str">
            <v>B8</v>
          </cell>
          <cell r="F89" t="str">
            <v>Normalized-DNA-1</v>
          </cell>
          <cell r="G89" t="str">
            <v>Burosumab-Parental</v>
          </cell>
          <cell r="H89" t="str">
            <v>A3</v>
          </cell>
        </row>
        <row r="90">
          <cell r="A90" t="str">
            <v>Belimumab</v>
          </cell>
          <cell r="B90" t="str">
            <v>Belimumab-Parental</v>
          </cell>
          <cell r="C90" t="str">
            <v>E1</v>
          </cell>
          <cell r="D90" t="str">
            <v>Belimumab-Parental</v>
          </cell>
          <cell r="E90" t="str">
            <v>C8</v>
          </cell>
          <cell r="F90" t="str">
            <v>Normalized-DNA-1</v>
          </cell>
          <cell r="G90" t="str">
            <v>Belimumab-Parental</v>
          </cell>
          <cell r="H90" t="str">
            <v>B3</v>
          </cell>
        </row>
        <row r="91">
          <cell r="A91" t="str">
            <v>Galcanezumab</v>
          </cell>
          <cell r="B91" t="str">
            <v>Galcanezumab-Parental</v>
          </cell>
          <cell r="C91" t="str">
            <v>F1</v>
          </cell>
          <cell r="D91" t="str">
            <v>Galcanezumab-Parental</v>
          </cell>
          <cell r="E91" t="str">
            <v>D8</v>
          </cell>
          <cell r="F91" t="str">
            <v>Normalized-DNA-1</v>
          </cell>
          <cell r="G91" t="str">
            <v>Galcanezumab-Parental</v>
          </cell>
          <cell r="H91" t="str">
            <v>C3</v>
          </cell>
        </row>
        <row r="92">
          <cell r="A92" t="str">
            <v>Serplulimab</v>
          </cell>
          <cell r="B92" t="str">
            <v>Serplulimab-Parental</v>
          </cell>
          <cell r="C92" t="str">
            <v>G1</v>
          </cell>
          <cell r="D92" t="str">
            <v>Serplulimab-Parental</v>
          </cell>
          <cell r="E92" t="str">
            <v>E8</v>
          </cell>
          <cell r="F92" t="str">
            <v>Normalized-DNA-1</v>
          </cell>
          <cell r="G92" t="str">
            <v>Serplulimab-Parental</v>
          </cell>
          <cell r="H92" t="str">
            <v>D3</v>
          </cell>
        </row>
        <row r="93">
          <cell r="A93" t="str">
            <v>Concizumab</v>
          </cell>
          <cell r="B93" t="str">
            <v>Concizumab-Parental</v>
          </cell>
          <cell r="C93" t="str">
            <v>H1</v>
          </cell>
          <cell r="D93" t="str">
            <v>Concizumab-Parental</v>
          </cell>
          <cell r="E93" t="str">
            <v>F8</v>
          </cell>
          <cell r="F93" t="str">
            <v>Normalized-DNA-1</v>
          </cell>
          <cell r="G93" t="str">
            <v>Concizumab-Parental</v>
          </cell>
          <cell r="H93" t="str">
            <v>E3</v>
          </cell>
        </row>
        <row r="94">
          <cell r="A94" t="str">
            <v>Fremanezumab</v>
          </cell>
          <cell r="B94" t="str">
            <v>Fremanezumab-Parental</v>
          </cell>
          <cell r="C94" t="str">
            <v>A2</v>
          </cell>
          <cell r="D94" t="str">
            <v>Fremanezumab-Parental</v>
          </cell>
          <cell r="E94" t="str">
            <v>G8</v>
          </cell>
          <cell r="F94" t="str">
            <v>Normalized-DNA-1</v>
          </cell>
          <cell r="G94" t="str">
            <v>Fremanezumab-Parental</v>
          </cell>
          <cell r="H94" t="str">
            <v>F3</v>
          </cell>
        </row>
        <row r="95">
          <cell r="A95" t="str">
            <v>Infliximab</v>
          </cell>
          <cell r="B95" t="str">
            <v>Infliximab-Parental</v>
          </cell>
          <cell r="C95" t="str">
            <v>B2</v>
          </cell>
          <cell r="D95" t="str">
            <v>Infliximab-Parental</v>
          </cell>
          <cell r="E95" t="str">
            <v>H8</v>
          </cell>
          <cell r="F95" t="str">
            <v>Normalized-DNA-1</v>
          </cell>
          <cell r="G95" t="str">
            <v>Infliximab-Parental</v>
          </cell>
          <cell r="H95" t="str">
            <v>G3</v>
          </cell>
        </row>
        <row r="96">
          <cell r="A96" t="str">
            <v>Enlonstobart</v>
          </cell>
          <cell r="B96" t="str">
            <v>Enlonstobart-Parental</v>
          </cell>
          <cell r="C96" t="str">
            <v>C2</v>
          </cell>
          <cell r="D96" t="str">
            <v>Enlonstobart-Parental</v>
          </cell>
          <cell r="E96" t="str">
            <v>A9</v>
          </cell>
          <cell r="F96" t="str">
            <v>Normalized-DNA-1</v>
          </cell>
          <cell r="G96" t="str">
            <v>Enlonstobart-Parental</v>
          </cell>
          <cell r="H96" t="str">
            <v>H3</v>
          </cell>
        </row>
        <row r="97">
          <cell r="A97" t="str">
            <v>Brentuximab</v>
          </cell>
          <cell r="B97" t="str">
            <v>Brentuximab-Parental</v>
          </cell>
          <cell r="C97" t="str">
            <v>D2</v>
          </cell>
          <cell r="D97" t="str">
            <v>Brentuximab-Parental</v>
          </cell>
          <cell r="E97" t="str">
            <v>B9</v>
          </cell>
          <cell r="F97" t="str">
            <v>Normalized-DNA-1</v>
          </cell>
          <cell r="G97" t="str">
            <v>Brentuximab-Parental</v>
          </cell>
          <cell r="H97" t="str">
            <v>A4</v>
          </cell>
        </row>
        <row r="98">
          <cell r="A98" t="str">
            <v>Dostarlimab</v>
          </cell>
          <cell r="B98" t="str">
            <v>Dostarlimab-Parental</v>
          </cell>
          <cell r="C98" t="str">
            <v>E2</v>
          </cell>
          <cell r="D98" t="str">
            <v>Dostarlimab-Parental</v>
          </cell>
          <cell r="E98" t="str">
            <v>C9</v>
          </cell>
          <cell r="F98" t="str">
            <v>Normalized-DNA-1</v>
          </cell>
          <cell r="G98" t="str">
            <v>Dostarlimab-Parental</v>
          </cell>
          <cell r="H98" t="str">
            <v>B4</v>
          </cell>
        </row>
        <row r="99">
          <cell r="A99" t="str">
            <v>Vedolizumab</v>
          </cell>
          <cell r="B99" t="str">
            <v>Vedolizumab-Parental</v>
          </cell>
          <cell r="C99" t="str">
            <v>F2</v>
          </cell>
          <cell r="D99" t="str">
            <v>Vedolizumab-Parental</v>
          </cell>
          <cell r="E99" t="str">
            <v>D9</v>
          </cell>
          <cell r="F99" t="str">
            <v>Normalized-DNA-1</v>
          </cell>
          <cell r="G99" t="str">
            <v>Vedolizumab-Parental</v>
          </cell>
          <cell r="H99" t="str">
            <v>C4</v>
          </cell>
        </row>
        <row r="100">
          <cell r="A100" t="str">
            <v>Daclizumab</v>
          </cell>
          <cell r="B100" t="str">
            <v>Daclizumab-Parental</v>
          </cell>
          <cell r="C100" t="str">
            <v>G2</v>
          </cell>
          <cell r="D100" t="str">
            <v>Daclizumab-Parental</v>
          </cell>
          <cell r="E100" t="str">
            <v>E9</v>
          </cell>
          <cell r="F100" t="str">
            <v>Normalized-DNA-1</v>
          </cell>
          <cell r="G100" t="str">
            <v>Daclizumab-Parental</v>
          </cell>
          <cell r="H100" t="str">
            <v>D4</v>
          </cell>
        </row>
        <row r="101">
          <cell r="A101" t="str">
            <v>Natalizumab</v>
          </cell>
          <cell r="B101" t="str">
            <v>Natalizumab-Parental</v>
          </cell>
          <cell r="C101" t="str">
            <v>H2</v>
          </cell>
          <cell r="D101" t="str">
            <v>Natalizumab-Parental</v>
          </cell>
          <cell r="E101" t="str">
            <v>F9</v>
          </cell>
          <cell r="F101" t="str">
            <v>Normalized-DNA-1</v>
          </cell>
          <cell r="G101" t="str">
            <v>Natalizumab-Parental</v>
          </cell>
          <cell r="H101" t="str">
            <v>E4</v>
          </cell>
        </row>
        <row r="102">
          <cell r="A102" t="str">
            <v>Tremelimumab</v>
          </cell>
          <cell r="B102" t="str">
            <v>Tremelimumab-Parental</v>
          </cell>
          <cell r="C102" t="str">
            <v>A3</v>
          </cell>
          <cell r="D102" t="str">
            <v>Tremelimumab-Parental</v>
          </cell>
          <cell r="E102" t="str">
            <v>G9</v>
          </cell>
          <cell r="F102" t="str">
            <v>Normalized-DNA-1</v>
          </cell>
          <cell r="G102" t="str">
            <v>Tremelimumab-Parental</v>
          </cell>
          <cell r="H102" t="str">
            <v>F4</v>
          </cell>
        </row>
        <row r="103">
          <cell r="A103" t="str">
            <v>Canakinumab</v>
          </cell>
          <cell r="B103" t="str">
            <v>Canakinumab-Parental</v>
          </cell>
          <cell r="C103" t="str">
            <v>B3</v>
          </cell>
          <cell r="D103" t="str">
            <v>Canakinumab-Parental</v>
          </cell>
          <cell r="E103" t="str">
            <v>H9</v>
          </cell>
          <cell r="F103" t="str">
            <v>Normalized-DNA-1</v>
          </cell>
          <cell r="G103" t="str">
            <v>Canakinumab-Parental</v>
          </cell>
          <cell r="H103" t="str">
            <v>G4</v>
          </cell>
        </row>
        <row r="104">
          <cell r="A104" t="str">
            <v>Nirsevimab</v>
          </cell>
          <cell r="B104" t="str">
            <v>Nirsevimab-Parental</v>
          </cell>
          <cell r="C104" t="str">
            <v>C3</v>
          </cell>
          <cell r="D104" t="str">
            <v>Nirsevimab-Parental</v>
          </cell>
          <cell r="E104" t="str">
            <v>A10</v>
          </cell>
          <cell r="F104" t="str">
            <v>Normalized-DNA-1</v>
          </cell>
          <cell r="G104" t="str">
            <v>Nirsevimab-Parental</v>
          </cell>
          <cell r="H104" t="str">
            <v>H4</v>
          </cell>
        </row>
        <row r="105">
          <cell r="A105" t="str">
            <v>Amivantamab 1</v>
          </cell>
          <cell r="B105" t="str">
            <v>Amivantamab 1-Parental</v>
          </cell>
          <cell r="C105" t="str">
            <v>D3</v>
          </cell>
          <cell r="D105" t="str">
            <v>Amivantamab 1-Parental</v>
          </cell>
          <cell r="E105" t="str">
            <v>B10</v>
          </cell>
          <cell r="F105" t="str">
            <v>Normalized-DNA-1</v>
          </cell>
          <cell r="G105" t="str">
            <v>Amivantamab 1-Parental</v>
          </cell>
          <cell r="H105" t="str">
            <v>A5</v>
          </cell>
        </row>
        <row r="106">
          <cell r="A106" t="str">
            <v>Amivantamab 2</v>
          </cell>
          <cell r="B106" t="str">
            <v>Amivantamab 2-Parental</v>
          </cell>
          <cell r="C106" t="str">
            <v>E3</v>
          </cell>
          <cell r="D106" t="str">
            <v>Amivantamab 2-Parental</v>
          </cell>
          <cell r="E106" t="str">
            <v>C10</v>
          </cell>
          <cell r="F106" t="str">
            <v>Normalized-DNA-1</v>
          </cell>
          <cell r="G106" t="str">
            <v>Amivantamab 2-Parental</v>
          </cell>
          <cell r="H106" t="str">
            <v>B5</v>
          </cell>
        </row>
        <row r="107">
          <cell r="A107" t="str">
            <v>Bintrafusp</v>
          </cell>
          <cell r="B107" t="str">
            <v>Bintrafusp-Parental</v>
          </cell>
          <cell r="C107" t="str">
            <v>F3</v>
          </cell>
          <cell r="D107" t="str">
            <v>Bintrafusp-Parental</v>
          </cell>
          <cell r="E107" t="str">
            <v>D10</v>
          </cell>
          <cell r="F107" t="str">
            <v>Normalized-DNA-1</v>
          </cell>
          <cell r="G107" t="str">
            <v>Bintrafusp-Parental</v>
          </cell>
          <cell r="H107" t="str">
            <v>C5</v>
          </cell>
        </row>
        <row r="108">
          <cell r="A108" t="str">
            <v>Pabinafusp</v>
          </cell>
          <cell r="B108" t="str">
            <v>Pabinafusp-Parental</v>
          </cell>
          <cell r="C108" t="str">
            <v>G3</v>
          </cell>
          <cell r="D108" t="str">
            <v>Pabinafusp-Parental</v>
          </cell>
          <cell r="E108" t="str">
            <v>E10</v>
          </cell>
          <cell r="F108" t="str">
            <v>Normalized-DNA-1</v>
          </cell>
          <cell r="G108" t="str">
            <v>Pabinafusp-Parental</v>
          </cell>
          <cell r="H108" t="str">
            <v>D5</v>
          </cell>
        </row>
        <row r="109">
          <cell r="A109" t="str">
            <v>Zanidatamab</v>
          </cell>
          <cell r="B109" t="str">
            <v>Zanidatamab-Parental</v>
          </cell>
          <cell r="C109" t="str">
            <v>H3</v>
          </cell>
          <cell r="D109" t="str">
            <v>Zanidatamab-Parental</v>
          </cell>
          <cell r="E109" t="str">
            <v>F10</v>
          </cell>
          <cell r="F109" t="str">
            <v>Normalized-DNA-1</v>
          </cell>
          <cell r="G109" t="str">
            <v>Zanidatamab-Parental</v>
          </cell>
          <cell r="H109" t="str">
            <v>E5</v>
          </cell>
        </row>
        <row r="110">
          <cell r="A110" t="str">
            <v>Marlotamig</v>
          </cell>
          <cell r="B110" t="str">
            <v>Marlotamig-Parental</v>
          </cell>
          <cell r="C110" t="str">
            <v>A4</v>
          </cell>
          <cell r="D110" t="str">
            <v>Marlotamig-Parental</v>
          </cell>
          <cell r="E110" t="str">
            <v>G10</v>
          </cell>
          <cell r="F110" t="str">
            <v>Normalized-DNA-1</v>
          </cell>
          <cell r="G110" t="str">
            <v>Marlotamig-Parental</v>
          </cell>
          <cell r="H110" t="str">
            <v>F5</v>
          </cell>
        </row>
        <row r="111">
          <cell r="A111" t="str">
            <v>Melredableukin</v>
          </cell>
          <cell r="B111" t="str">
            <v>Melredableukin-Parental</v>
          </cell>
          <cell r="C111" t="str">
            <v>B4</v>
          </cell>
          <cell r="D111" t="str">
            <v>Melredableukin-Parental</v>
          </cell>
          <cell r="E111" t="str">
            <v>H10</v>
          </cell>
          <cell r="F111" t="str">
            <v>Normalized-DNA-1</v>
          </cell>
          <cell r="G111" t="str">
            <v>Melredableukin-Parental</v>
          </cell>
          <cell r="H111" t="str">
            <v>G5</v>
          </cell>
        </row>
        <row r="112">
          <cell r="A112" t="str">
            <v>Rilvegostomig</v>
          </cell>
          <cell r="B112" t="str">
            <v>Rilvegostomig-Parental</v>
          </cell>
          <cell r="C112" t="str">
            <v>C4</v>
          </cell>
          <cell r="D112" t="str">
            <v>Rilvegostomig-Parental</v>
          </cell>
          <cell r="E112" t="str">
            <v>A11</v>
          </cell>
          <cell r="F112" t="str">
            <v>Normalized-DNA-1</v>
          </cell>
          <cell r="G112" t="str">
            <v>Rilvegostomig-Parental</v>
          </cell>
          <cell r="H112" t="str">
            <v>H5</v>
          </cell>
        </row>
        <row r="113">
          <cell r="B113" t="str">
            <v>Donanemab-Mutated</v>
          </cell>
          <cell r="C113" t="str">
            <v>D4</v>
          </cell>
          <cell r="D113" t="str">
            <v>Donanemab-Mutated</v>
          </cell>
          <cell r="E113" t="str">
            <v>B11</v>
          </cell>
          <cell r="F113" t="str">
            <v>Normalized-DNA-1</v>
          </cell>
          <cell r="G113" t="str">
            <v>Donanemab-Mutated</v>
          </cell>
          <cell r="H113" t="str">
            <v>A6</v>
          </cell>
        </row>
        <row r="114">
          <cell r="B114" t="str">
            <v>Mirikizumab-Mutated</v>
          </cell>
          <cell r="C114" t="str">
            <v>E4</v>
          </cell>
          <cell r="D114" t="str">
            <v>Mirikizumab-Mutated</v>
          </cell>
          <cell r="E114" t="str">
            <v>C11</v>
          </cell>
          <cell r="F114" t="str">
            <v>Normalized-DNA-1</v>
          </cell>
          <cell r="G114" t="str">
            <v>Mirikizumab-Mutated</v>
          </cell>
          <cell r="H114" t="str">
            <v>B6</v>
          </cell>
        </row>
        <row r="115">
          <cell r="B115" t="str">
            <v>Bimekizumab-Mutated</v>
          </cell>
          <cell r="C115" t="str">
            <v>F4</v>
          </cell>
          <cell r="D115" t="str">
            <v>Bimekizumab-Mutated</v>
          </cell>
          <cell r="E115" t="str">
            <v>D11</v>
          </cell>
          <cell r="F115" t="str">
            <v>Normalized-DNA-1</v>
          </cell>
          <cell r="G115" t="str">
            <v>Bimekizumab-Mutated</v>
          </cell>
          <cell r="H115" t="str">
            <v>C6</v>
          </cell>
        </row>
        <row r="116">
          <cell r="B116" t="str">
            <v>Burosumab-Mutated</v>
          </cell>
          <cell r="C116" t="str">
            <v>G4</v>
          </cell>
          <cell r="D116" t="str">
            <v>Burosumab-Mutated</v>
          </cell>
          <cell r="E116" t="str">
            <v>E11</v>
          </cell>
          <cell r="F116" t="str">
            <v>Normalized-DNA-1</v>
          </cell>
          <cell r="G116" t="str">
            <v>Burosumab-Mutated</v>
          </cell>
          <cell r="H116" t="str">
            <v>D6</v>
          </cell>
        </row>
        <row r="117">
          <cell r="B117" t="str">
            <v>Belimumab-Mutated</v>
          </cell>
          <cell r="C117" t="str">
            <v>H4</v>
          </cell>
          <cell r="D117" t="str">
            <v>Belimumab-Mutated</v>
          </cell>
          <cell r="E117" t="str">
            <v>F11</v>
          </cell>
          <cell r="F117" t="str">
            <v>Normalized-DNA-1</v>
          </cell>
          <cell r="G117" t="str">
            <v>Belimumab-Mutated</v>
          </cell>
          <cell r="H117" t="str">
            <v>E6</v>
          </cell>
        </row>
        <row r="118">
          <cell r="B118" t="str">
            <v>Galcanezumab-Mutated</v>
          </cell>
          <cell r="C118" t="str">
            <v>A5</v>
          </cell>
          <cell r="D118" t="str">
            <v>Galcanezumab-Mutated</v>
          </cell>
          <cell r="E118" t="str">
            <v>G11</v>
          </cell>
          <cell r="F118" t="str">
            <v>Normalized-DNA-1</v>
          </cell>
          <cell r="G118" t="str">
            <v>Galcanezumab-Mutated</v>
          </cell>
          <cell r="H118" t="str">
            <v>F6</v>
          </cell>
        </row>
        <row r="119">
          <cell r="B119" t="str">
            <v>Serplulimab-Mutated</v>
          </cell>
          <cell r="C119" t="str">
            <v>B5</v>
          </cell>
          <cell r="D119" t="str">
            <v>Serplulimab-Mutated</v>
          </cell>
          <cell r="E119" t="str">
            <v>H11</v>
          </cell>
          <cell r="F119" t="str">
            <v>Normalized-DNA-1</v>
          </cell>
          <cell r="G119" t="str">
            <v>Serplulimab-Mutated</v>
          </cell>
          <cell r="H119" t="str">
            <v>G6</v>
          </cell>
        </row>
        <row r="120">
          <cell r="B120" t="str">
            <v>Concizumab-Mutated</v>
          </cell>
          <cell r="C120" t="str">
            <v>C5</v>
          </cell>
          <cell r="D120" t="str">
            <v>Concizumab-Mutated</v>
          </cell>
          <cell r="E120" t="str">
            <v>A12</v>
          </cell>
          <cell r="F120" t="str">
            <v>Normalized-DNA-1</v>
          </cell>
          <cell r="G120" t="str">
            <v>Concizumab-Mutated</v>
          </cell>
          <cell r="H120" t="str">
            <v>H6</v>
          </cell>
        </row>
        <row r="121">
          <cell r="B121" t="str">
            <v>Fremanezumab-Mutated</v>
          </cell>
          <cell r="C121" t="str">
            <v>D5</v>
          </cell>
          <cell r="D121" t="str">
            <v>Fremanezumab-Mutated</v>
          </cell>
          <cell r="E121" t="str">
            <v>B12</v>
          </cell>
          <cell r="F121" t="str">
            <v>Normalized-DNA-1</v>
          </cell>
          <cell r="G121" t="str">
            <v>Fremanezumab-Mutated</v>
          </cell>
          <cell r="H121" t="str">
            <v>A7</v>
          </cell>
        </row>
        <row r="122">
          <cell r="B122" t="str">
            <v>Infliximab-Mutated</v>
          </cell>
          <cell r="C122" t="str">
            <v>E5</v>
          </cell>
          <cell r="D122" t="str">
            <v>Infliximab-Mutated</v>
          </cell>
          <cell r="E122" t="str">
            <v>C12</v>
          </cell>
          <cell r="F122" t="str">
            <v>Normalized-DNA-1</v>
          </cell>
          <cell r="G122" t="str">
            <v>Infliximab-Mutated</v>
          </cell>
          <cell r="H122" t="str">
            <v>B7</v>
          </cell>
        </row>
        <row r="123">
          <cell r="B123" t="str">
            <v>Enlonstobart-Mutated</v>
          </cell>
          <cell r="C123" t="str">
            <v>F5</v>
          </cell>
          <cell r="D123" t="str">
            <v>Enlonstobart-Mutated</v>
          </cell>
          <cell r="E123" t="str">
            <v>D12</v>
          </cell>
          <cell r="F123" t="str">
            <v>Normalized-DNA-1</v>
          </cell>
          <cell r="G123" t="str">
            <v>Enlonstobart-Mutated</v>
          </cell>
          <cell r="H123" t="str">
            <v>C7</v>
          </cell>
        </row>
        <row r="124">
          <cell r="B124" t="str">
            <v>Brentuximab-Mutated</v>
          </cell>
          <cell r="C124" t="str">
            <v>G5</v>
          </cell>
          <cell r="D124" t="str">
            <v>Brentuximab-Mutated</v>
          </cell>
          <cell r="E124" t="str">
            <v>E12</v>
          </cell>
          <cell r="F124" t="str">
            <v>Normalized-DNA-1</v>
          </cell>
          <cell r="G124" t="str">
            <v>Brentuximab-Mutated</v>
          </cell>
          <cell r="H124" t="str">
            <v>D7</v>
          </cell>
        </row>
        <row r="125">
          <cell r="B125" t="str">
            <v>Dostarlimab-Mutated</v>
          </cell>
          <cell r="C125" t="str">
            <v>H5</v>
          </cell>
          <cell r="D125" t="str">
            <v>Dostarlimab-Mutated</v>
          </cell>
          <cell r="E125" t="str">
            <v>F12</v>
          </cell>
          <cell r="F125" t="str">
            <v>Normalized-DNA-1</v>
          </cell>
          <cell r="G125" t="str">
            <v>Dostarlimab-Mutated</v>
          </cell>
          <cell r="H125" t="str">
            <v>E7</v>
          </cell>
        </row>
        <row r="126">
          <cell r="B126" t="str">
            <v>Vedolizumab-Mutated</v>
          </cell>
          <cell r="C126" t="str">
            <v>A6</v>
          </cell>
          <cell r="D126" t="str">
            <v>Vedolizumab-Mutated</v>
          </cell>
          <cell r="E126" t="str">
            <v>G12</v>
          </cell>
          <cell r="F126" t="str">
            <v>Normalized-DNA-1</v>
          </cell>
          <cell r="G126" t="str">
            <v>Vedolizumab-Mutated</v>
          </cell>
          <cell r="H126" t="str">
            <v>F7</v>
          </cell>
        </row>
        <row r="127">
          <cell r="B127" t="str">
            <v>Daclizumab-Mutated</v>
          </cell>
          <cell r="C127" t="str">
            <v>B6</v>
          </cell>
          <cell r="D127" t="str">
            <v>Daclizumab-Mutated</v>
          </cell>
          <cell r="E127" t="str">
            <v>A1</v>
          </cell>
          <cell r="F127" t="str">
            <v>Normalized-DNA-2</v>
          </cell>
          <cell r="G127" t="str">
            <v>Daclizumab-Mutated</v>
          </cell>
          <cell r="H127" t="str">
            <v>G7</v>
          </cell>
        </row>
        <row r="128">
          <cell r="B128" t="str">
            <v>Natalizumab-Mutated</v>
          </cell>
          <cell r="C128" t="str">
            <v>C6</v>
          </cell>
          <cell r="D128" t="str">
            <v>Natalizumab-Mutated</v>
          </cell>
          <cell r="E128" t="str">
            <v>B1</v>
          </cell>
          <cell r="F128" t="str">
            <v>Normalized-DNA-2</v>
          </cell>
          <cell r="G128" t="str">
            <v>Natalizumab-Mutated</v>
          </cell>
          <cell r="H128" t="str">
            <v>H7</v>
          </cell>
        </row>
        <row r="129">
          <cell r="B129" t="str">
            <v>Tremelimumab-Mutated</v>
          </cell>
          <cell r="C129" t="str">
            <v>D6</v>
          </cell>
          <cell r="D129" t="str">
            <v>Tremelimumab-Mutated</v>
          </cell>
          <cell r="E129" t="str">
            <v>C1</v>
          </cell>
          <cell r="F129" t="str">
            <v>Normalized-DNA-2</v>
          </cell>
          <cell r="G129" t="str">
            <v>Tremelimumab-Mutated</v>
          </cell>
          <cell r="H129" t="str">
            <v>A8</v>
          </cell>
        </row>
        <row r="130">
          <cell r="B130" t="str">
            <v>Canakinumab-Mutated</v>
          </cell>
          <cell r="C130" t="str">
            <v>E6</v>
          </cell>
          <cell r="D130" t="str">
            <v>Canakinumab-Mutated</v>
          </cell>
          <cell r="E130" t="str">
            <v>D1</v>
          </cell>
          <cell r="F130" t="str">
            <v>Normalized-DNA-2</v>
          </cell>
          <cell r="G130" t="str">
            <v>Canakinumab-Mutated</v>
          </cell>
          <cell r="H130" t="str">
            <v>B8</v>
          </cell>
        </row>
        <row r="131">
          <cell r="B131" t="str">
            <v>Nirsevimab-Mutated</v>
          </cell>
          <cell r="C131" t="str">
            <v>F6</v>
          </cell>
          <cell r="D131" t="str">
            <v>Nirsevimab-Mutated</v>
          </cell>
          <cell r="E131" t="str">
            <v>E1</v>
          </cell>
          <cell r="F131" t="str">
            <v>Normalized-DNA-2</v>
          </cell>
          <cell r="G131" t="str">
            <v>Nirsevimab-Mutated</v>
          </cell>
          <cell r="H131" t="str">
            <v>C8</v>
          </cell>
        </row>
        <row r="132">
          <cell r="B132" t="str">
            <v>Amivantamab 1-Mutated</v>
          </cell>
          <cell r="C132" t="str">
            <v>G6</v>
          </cell>
          <cell r="D132" t="str">
            <v>Amivantamab 1-Mutated</v>
          </cell>
          <cell r="E132" t="str">
            <v>F1</v>
          </cell>
          <cell r="F132" t="str">
            <v>Normalized-DNA-2</v>
          </cell>
          <cell r="G132" t="str">
            <v>Amivantamab 1-Mutated</v>
          </cell>
          <cell r="H132" t="str">
            <v>D8</v>
          </cell>
        </row>
        <row r="133">
          <cell r="B133" t="str">
            <v>Amivantamab 2-Mutated</v>
          </cell>
          <cell r="C133" t="str">
            <v>H6</v>
          </cell>
          <cell r="D133" t="str">
            <v>Amivantamab 2-Mutated</v>
          </cell>
          <cell r="E133" t="str">
            <v>G1</v>
          </cell>
          <cell r="F133" t="str">
            <v>Normalized-DNA-2</v>
          </cell>
          <cell r="G133" t="str">
            <v>Amivantamab 2-Mutated</v>
          </cell>
          <cell r="H133" t="str">
            <v>E8</v>
          </cell>
        </row>
        <row r="134">
          <cell r="B134" t="str">
            <v>Bintrafusp-Mutated</v>
          </cell>
          <cell r="C134" t="str">
            <v>A7</v>
          </cell>
          <cell r="D134" t="str">
            <v>Bintrafusp-Mutated</v>
          </cell>
          <cell r="E134" t="str">
            <v>H1</v>
          </cell>
          <cell r="F134" t="str">
            <v>Normalized-DNA-2</v>
          </cell>
          <cell r="G134" t="str">
            <v>Bintrafusp-Mutated</v>
          </cell>
          <cell r="H134" t="str">
            <v>F8</v>
          </cell>
        </row>
        <row r="135">
          <cell r="B135" t="str">
            <v>Pabinafusp-Mutated</v>
          </cell>
          <cell r="C135" t="str">
            <v>B7</v>
          </cell>
          <cell r="D135" t="str">
            <v>Pabinafusp-Mutated</v>
          </cell>
          <cell r="E135" t="str">
            <v>A2</v>
          </cell>
          <cell r="F135" t="str">
            <v>Normalized-DNA-2</v>
          </cell>
          <cell r="G135" t="str">
            <v>Pabinafusp-Mutated</v>
          </cell>
          <cell r="H135" t="str">
            <v>G8</v>
          </cell>
        </row>
        <row r="136">
          <cell r="B136" t="str">
            <v>Zanidatamab-Mutated</v>
          </cell>
          <cell r="C136" t="str">
            <v>C7</v>
          </cell>
          <cell r="D136" t="str">
            <v>Zanidatamab-Mutated</v>
          </cell>
          <cell r="E136" t="str">
            <v>B2</v>
          </cell>
          <cell r="F136" t="str">
            <v>Normalized-DNA-2</v>
          </cell>
          <cell r="G136" t="str">
            <v>Zanidatamab-Mutated</v>
          </cell>
          <cell r="H136" t="str">
            <v>H8</v>
          </cell>
        </row>
        <row r="137">
          <cell r="B137" t="str">
            <v>Marlotamig-Mutated</v>
          </cell>
          <cell r="C137" t="str">
            <v>D7</v>
          </cell>
          <cell r="D137" t="str">
            <v>Marlotamig-Mutated</v>
          </cell>
          <cell r="E137" t="str">
            <v>C2</v>
          </cell>
          <cell r="F137" t="str">
            <v>Normalized-DNA-2</v>
          </cell>
          <cell r="G137" t="str">
            <v>Marlotamig-Mutated</v>
          </cell>
          <cell r="H137" t="str">
            <v>A9</v>
          </cell>
        </row>
        <row r="138">
          <cell r="B138" t="str">
            <v>Melredableukin-Mutated</v>
          </cell>
          <cell r="C138" t="str">
            <v>E7</v>
          </cell>
          <cell r="D138" t="str">
            <v>Melredableukin-Mutated</v>
          </cell>
          <cell r="E138" t="str">
            <v>D2</v>
          </cell>
          <cell r="F138" t="str">
            <v>Normalized-DNA-2</v>
          </cell>
          <cell r="G138" t="str">
            <v>Melredableukin-Mutated</v>
          </cell>
          <cell r="H138" t="str">
            <v>B9</v>
          </cell>
        </row>
        <row r="139">
          <cell r="B139" t="str">
            <v>Rilvegostomig-Mutated</v>
          </cell>
          <cell r="C139" t="str">
            <v>F7</v>
          </cell>
          <cell r="D139" t="str">
            <v>Rilvegostomig-Mutated</v>
          </cell>
          <cell r="E139" t="str">
            <v>E2</v>
          </cell>
          <cell r="F139" t="str">
            <v>Normalized-DNA-2</v>
          </cell>
          <cell r="G139" t="str">
            <v>Rilvegostomig-Mutated</v>
          </cell>
          <cell r="H139" t="str">
            <v>C9</v>
          </cell>
        </row>
      </sheetData>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oclonals"/>
      <sheetName val="Monoclonals Final"/>
      <sheetName val="Bispecifics"/>
    </sheetNames>
    <sheetDataSet>
      <sheetData sheetId="0"/>
      <sheetData sheetId="1">
        <row r="1">
          <cell r="A1" t="str">
            <v>Therapeutic</v>
          </cell>
          <cell r="F1" t="str">
            <v>Patent</v>
          </cell>
          <cell r="G1" t="str">
            <v>Patent text</v>
          </cell>
        </row>
        <row r="2">
          <cell r="A2" t="str">
            <v>Donanemab</v>
          </cell>
          <cell r="F2" t="str">
            <v>https://patents.google.com/patent/US8961972B2/en?oq=US+8961972</v>
          </cell>
          <cell r="G2" t="str">
            <v>“…an expression system for secreting antibodies using an optimal predetermined HCLC vector ratio or a single vector system encoding both HC, such as SEQ ID NO: 56, and LC, such as SEQ ID NO: 55.”“An appropriate host cell, such as HEK 293 EBNA or CHO, is either transiently or stably transfected with an expression system…”</v>
          </cell>
        </row>
        <row r="3">
          <cell r="A3" t="str">
            <v>Mirikizumab</v>
          </cell>
          <cell r="F3" t="str">
            <v>https://patents.google.com/patent/US9023358B2/en?oq=US+9023358</v>
          </cell>
          <cell r="G3" t="str">
            <v>“The polynucleotides of the present invention will be
expressed in a host cell… The present invention provides a
recombinant host cell comprising the DNA molecule…
encoding a light chain polypeptide having the amino acid
sequence SEQ ID NO: 10 and… a heavy chain polypeptide
having the amino acid sequence SEQ ID NO: 9…
The antibody of the present invention may readily be produced in
mammalian cells such as CHO, NS0, HEK293 or COS cells;
in bacterial cells such as E. coli… or in fungal or yeast cells.”</v>
          </cell>
        </row>
        <row r="4">
          <cell r="A4" t="str">
            <v>Bimekizumab</v>
          </cell>
          <cell r="F4" t="str">
            <v>https://patents.google.com/patent/US9034600B2/en?oq=US+9034600</v>
          </cell>
          <cell r="G4" t="str">
            <v>“DNA encoding light chain of antibody CA028 496g3 (no signal sequence) (SEQ ID NO:13)”“DNA (including exons) encoding heavy chain of antibody CA028 496g3 without signal sequence (SEQ ID NO:17)” “Plasmids were co‑transfected into CHO cells using the Lipofectamine™ 2000 procedure according to manufacturers instructions (Invitrogen, catalogue No. 11668).”</v>
          </cell>
        </row>
        <row r="5">
          <cell r="A5" t="str">
            <v>Olokizumab</v>
          </cell>
          <cell r="F5" t="str">
            <v>https://patents.google.com/patent/US9096668B2/en?oq=US+9096668</v>
          </cell>
          <cell r="G5" t="str">
            <v>“Suitable mammalian host cells include CHO, NSO, myeloma or hybridoma cells. Examples of suitable expression systems include the glutamine synthetase expression system.” (US 9,096,668 B2, Expression System Section)“Nucleotides 1–57 in SEQ ID NO:15 … encode the signal peptide sequence from mouse antibody B72.3 …
The present invention also provides an isolated DNA sequence encoding the heavy chain of an antibody of the present invention which comprises nucleotides 58–2008 of SEQ ID NO:15.”“Nucleotides 1–60 in SEQ ID NO:17 encode the signal peptide sequence from mouse antibody B72.3 …
The present invention also provides an isolated DNA sequence encoding the light chain of an antibody of the present invention which comprises nucleotides 61–705 of SEQ ID NO:17.”“Examples of suitable expression systems include the glutamine synthetase expression system described in WO87/04462.”</v>
          </cell>
        </row>
        <row r="6">
          <cell r="A6" t="str">
            <v>Burosumab</v>
          </cell>
          <cell r="F6" t="str">
            <v>https://patents.google.com/patent/US9290569B2/en?oq=US+9290569</v>
          </cell>
          <cell r="G6" t="str">
            <v>“FIG. 2 shows the nucleotide sequence (SEQ ID NO:30) and amino acid sequence (SEQ ID NO:31) of the antibody heavy chain gene in N5KG1 C10 LH. The amino acid sequence surrounded by a rectangular line represents the secretion signal sequence (leader sequence).”“FIG. 3 shows the nucleotide sequence (SEQ ID NO:32) and amino acid sequence (SEQ ID NO:33) of the antibody light chain gene in N5KG1 C10 LH. The amino acid sequence surrounded by a rectangular line represents the secretion signal sequence (leader sequence).”“C10 antibody expressing cells were produced by introducing the constructed C10 antibody expression vector to host cells. A strain of dihydrofolate reductase (DHFR) deletion mutant CHO DG44 cells … was used as host cells for expression.”“The gene was introduced … to 4×10⁶ CHO cells by electroporation … The selected CHO cell lines were cultured … The culture supernatant was absorbed to a Mabselect Protein A column.”</v>
          </cell>
        </row>
        <row r="7">
          <cell r="A7" t="str">
            <v>Naxitamab</v>
          </cell>
          <cell r="F7" t="str">
            <v>US9688772B2 - Anti-GD2 antibodies - Google Patents</v>
          </cell>
          <cell r="G7" t="str">
            <v>“Hu3F8‑H1L1‑IgG1 light chain is encoded by SEQ ID NO:11.”“Hu3F8‑H1L1‑IgG4 heavy chain is encoded by SEQ ID NO:14.”“The host cell can optionally be at least one selected from COS‑1, COS‑7, HEK293, BHK21, CHO, CHO‑S, DG44, BSC‑1, Hep G2, 653, SP2/0, 293, HeLa, myeloma, or lymphoma cells…”“…selected for high expression by CHO‑DG44 cell lines in serum free medium.”“A special glycoform… was produced using CHO‑Mage1.5 cell line.”</v>
          </cell>
        </row>
        <row r="8">
          <cell r="A8" t="str">
            <v>Belimumab</v>
          </cell>
          <cell r="G8" t="str">
            <v>https://patents.google.com/patent/EP3059319A1/en?oq=EP3059319</v>
          </cell>
        </row>
        <row r="9">
          <cell r="A9" t="str">
            <v>Galcanezumab</v>
          </cell>
          <cell r="F9" t="str">
            <v>https://patents.google.com/patent/US20230159628A1/en?oq=JP+2018517727</v>
          </cell>
          <cell r="G9" t="str">
            <v>“[0066] SEQ ID NO: 5 - Exemplified nucleotide sequence (encoding a LC of an anti-CGRP antibody of the present invention)”“[0067] SEQ ID NO: 6 - Exemplified nucleotide sequence (encoding a HC of an anti-CGRP antibody of the present invention)”“An appropriate host cell, such as CHO, is either transiently or stably transfected with an expression system for secreting antibodies…”
“…such as each LC being SEQ ID NO: 3 and each HC being SEQ ID NO: 4.”</v>
          </cell>
        </row>
        <row r="10">
          <cell r="A10" t="str">
            <v>Serplulimab</v>
          </cell>
          <cell r="F10" t="str">
            <v>https://patents.google.com/patent/US11028173B2/en?oq=JP+2020501598</v>
          </cell>
          <cell r="G10" t="str">
            <v>“Cells comprising the nucleic acid molecules are also contemplated … In some embodiments … the cell is a mammalian cell. In some embodiments … the mammalian cell is a CHO cell. In some embodiments … the cell is a stable mammalian cell line.”“SEQ ID NO: 5 (DNA, length 642) … encodes the light chain variable domain (VL) of the anti‑PD‑1 antibody.”“SEQ ID NO: 7—synthetic polynucleotide, DNA, length: 1329, artificial sequence; full sequence provided, used for anti‑PD‑1 antibody engineering.”“Cells comprising the nucleic acid molecules are also contemplated … In some embodiments … the cell is a mammalian cell. In some embodiments … the mammalian cell is a CHO cell. In some embodiments … the cell is a stable mammalian cell line.”“In certain embodiments, an anti‑PD‑1 antibody … is expressed by a stable mammalian cell line … the stable mammalian cell line is a CHO cell line.”</v>
          </cell>
        </row>
        <row r="11">
          <cell r="A11" t="str">
            <v>Concizumab</v>
          </cell>
          <cell r="F11" t="str">
            <v>https://patents.google.com/patent/US9795674B2/en?oq=US+9795674</v>
          </cell>
          <cell r="G11" t="str">
            <v>“SEQ ID NOs: 7–9 provide the sense polynucleotide, anti-sense polynucleotide and polypeptide sequences, respectively, for the light chain (LC) of the humanized monoclonal antibody, HZTFPI4F36 (mAbTFP12021).”“SEQ ID NOs: 10–12 provide the sense polynucleotide, anti-sense polynucleotide and polypeptide sequences, respectively, for the heavy chain (HC) of the humanized monoclonal antibody, HZTFPI4F36 (mAbTFP12021). Signal peptide sequences are omitted.”“The monoclonal antibodies to be used in accordance with the present invention may be made by the hybridoma method… or may be made by recombinant DNA methods…”</v>
          </cell>
        </row>
        <row r="12">
          <cell r="A12" t="str">
            <v>Fremanezumab</v>
          </cell>
          <cell r="F12" t="str">
            <v>https://patents.google.com/patent/US9884907B2/en?oq=US+9884907</v>
          </cell>
          <cell r="G12" t="str">
            <v>“The sequences are cloned into mammalian expression vectors pDb.CGRP.hFcGI (heavy chain) and pEb.CGRP.hKGI (light chain), suitable for transient or stable expression in mammalian cells.”“Host cells include mammalian cells such as CHO, COS, HeLa… for expression of the antibody.”“G1 heavy chain full antibody nucleotide sequence… synthetic… 1347 bp… encodes heavy chain variable region and human IgG2 constant region… deposited as pDb.CGRP.hFcGI, ATCC PTA‑6867”“G1 light chain full antibody nucleotide sequence… synthetic… 645 bp… encodes light chain variable region and human kappa constant region… deposited as pEb.CGRP.hKGI, ATCC PTA‑6866”</v>
          </cell>
        </row>
        <row r="13">
          <cell r="A13" t="str">
            <v>Infliximab</v>
          </cell>
          <cell r="F13" t="str">
            <v>https://patents.google.com/patent/US10066019B2/en?oq=US+10066019</v>
          </cell>
          <cell r="G13" t="str">
            <v>“…infliximab (Remicade, CAS number 170277‑31‑3); a heavy chain signal peptide of SEQ ID NO: 3 fused to the heavy chain amino acid sequence of infliximab; … the amino acid sequence for infliximab (H) SEQ ID NO: 13; the nucleotide sequence encoding infliximab (H) SEQ ID NO: 23…”“…infliximab (Remicade)… a light chain signal peptide of SEQ ID NO: 4 fused to the light chain amino acid sequence of infliximab (L) SEQ ID NO: 18; the nucleotide sequence encoding infliximab (L) SEQ ID NO: 28…”“Transient antibody expression… transfected into CHO‑K1 cells…”“The best signal peptide combination… was selected and co‑expressed in CHO cells…”</v>
          </cell>
        </row>
        <row r="14">
          <cell r="A14" t="str">
            <v>Enlonstobart</v>
          </cell>
          <cell r="F14" t="str">
            <v>https://patents.google.com/patent/US10774144B2/en?oq=US+10774144</v>
          </cell>
        </row>
        <row r="15">
          <cell r="A15" t="str">
            <v>Recaticimab</v>
          </cell>
          <cell r="F15" t="str">
            <v>US10793643B2 - PCSK9 antibody, antigen-binding fragment thereof, and medical application thereof - Google Patents</v>
          </cell>
          <cell r="G15" t="str">
            <v>“The recombined immunoglobulin expression vector was stably transfected into CHO cells… As a more recommended method… mammalian expression systems…”“OTHER INFORMATION : h001‑4 – IgG1 Heavy chain DNA sequence”“OTHER INFORMATION : h001‑4 – kappa Light chain DNA sequence”</v>
          </cell>
        </row>
        <row r="16">
          <cell r="A16" t="str">
            <v>Adebrelimab</v>
          </cell>
          <cell r="F16" t="str">
            <v>https://patents.google.com/patent/US10815304B2/en?oq=US+10815304</v>
          </cell>
          <cell r="G16" t="str">
            <v>“&lt;210&gt; SEQ ID NO 35
&lt;211&gt; LENGTH : 1341
&lt;212&gt; TYPE : DNA
&lt;213&gt; ORGANISM : Artificial sequence
&lt;220&gt; FEATURE :
&lt;223&gt; OTHER INFORMATION : DNA sequence encoding heavy chain sequence of HRP00052 24D5”“&lt;210&gt; SEQ ID NO 37
&lt;211&gt; LENGTH : 657
&lt;212&gt; TYPE : DNA
&lt;213&gt; ORGANISM : Artificial sequence
&lt;220&gt; FEATURE :
&lt;223&gt; OTHER INFORMATION : DNA sequence encoding light chain sequence of HRP00052 24D5”“The expression vector… was transiently expressed in 293F cells… or stably expressed in CHO‑S cells… and purified to obtain the antigen and detection proteins…”</v>
          </cell>
        </row>
        <row r="17">
          <cell r="A17" t="str">
            <v>Brentuximab</v>
          </cell>
          <cell r="F17" t="str">
            <v>https://patents.google.com/patent/US10864277B2/en?oq=US+10864277</v>
          </cell>
          <cell r="G17" t="str">
            <v>“SEQ ID NO 27: 1401 bp DNA, artificial sequence, nucleotide sequence of mAb Ac10 Heavy Chain; full coding region provided.”“SEQ ID NO 29: 714 bp DNA, artificial sequence, nucleotide sequence of mAb Ac10 Light Chain; full coding region provided.”“Sequences…are designed for recombinant expression…compatible with standard mammalian or bacterial expression systems.”“These constructs allow…expression in mammalian cells, like but not limited to CHO cells, typically used for recombinant antibody expression.”</v>
          </cell>
        </row>
        <row r="18">
          <cell r="A18" t="str">
            <v>Mepolizumab</v>
          </cell>
          <cell r="F18" t="str">
            <v>US10870695B2 - Biopharmaceutical compositions comprising interleukin-5 antibody - Google Patents</v>
          </cell>
          <cell r="G18" t="str">
            <v>“The mepolizumab heavy chain is encoded by the nucleic acid sequence shown in SEQ ID NO: 13.”“The mepolizumab light chain is encoded by the nucleic acid sequence shown in SEQ ID NO: 14.”“**…wherein the antibody comprises a heavy chain amino acid sequence having at least 90% identity to SEQ ID NO: 1 and a light chain amino acid sequence having at least 90% identity to SEQ ID NO: 2, and wherein the antibody is produced by a Chinese Hamster Ovary cell.”“Suitable host cells include mammalian cells such as Chinese Hamster Ovary (CHO) cells…”</v>
          </cell>
        </row>
        <row r="19">
          <cell r="A19" t="str">
            <v>Dostarlimab</v>
          </cell>
          <cell r="F19" t="str">
            <v>US11155624B2 - Antibodies directed against programmed death-1 (PD-1) - Google Patents</v>
          </cell>
          <cell r="G19" t="str">
            <v>“Nucleic acid sequences encoding an inventive immunoglobulin heavy chain polypeptide include, for example, SEQ ID NO: 3.”“Nucleic acid sequences encoding an inventive immunoglobulin light chain polypeptides include, for example, SEQ ID NO: 4.”“This exemplary anti-PD‑1 antibody exhibits… glycan species from a preparation… cultured in Chinese Hamster Ovary (CHO) cells”“…a host cell that is capable of expressing the polypeptides… including any suitable prokaryotic or eukaryotic cell… Suitable eukaryotic cells include… mammalian cells… Chinese hamster ovary cells (CHO)… HEK293… 3T3… COS‑1… COS‑7.”</v>
          </cell>
        </row>
        <row r="20">
          <cell r="A20" t="str">
            <v>Vedolizumab</v>
          </cell>
          <cell r="F20" t="str">
            <v>https://patents.google.com/patent/US20220267448A1/en?oq=US17596418</v>
          </cell>
          <cell r="G20" t="str">
            <v>“A full length nucleic acid sequence encoding the light chain of vedolizumab is set forth as SEQ ID NO:11.”“A full length nucleic acid sequence encoding the heavy chain of vedolizumab is set forth as SEQ ID NO:12.”“In some embodiments of the above aspects, the mammalian host cell is a Chinese Hamster Ovary (CHO) cell. In certain embodiments, the CHO cell is a GS‑CHO cell.”“The present invention relates to methods and compositions for producing an anti‑α4β7 antibody in mammalian host cells.”“The host cell is genetically engineered to express a humanized anti‑α4β7 antibody… comprising SEQ ID NO:11 (light chain) and SEQ ID NO:12 (heavy chain).”“In some embodiments, the host cell comprises a nucleic acid set forth in SEQ ID NO:11… and SEQ ID NO:12.”</v>
          </cell>
        </row>
        <row r="21">
          <cell r="A21" t="str">
            <v>Finotonlimab</v>
          </cell>
          <cell r="F21" t="str">
            <v>US12275790B2 - Humanized anti-PD-1 antibody and the use thereof - Google Patents</v>
          </cell>
          <cell r="G21" t="str">
            <v>After PCR amplification, the respective above heavy/light chain nucleotide sequences encoding the signal peptide containing PD1‑H944 antibody (SEQ ID NO:26/27), which contains the nucleotide sequence coding for the sequentially linked heavy/light chain signal peptide (SEQ ID NO:28/29), the heavy/light chain variable region of the humanized antibody (SEQ ID NO:30/31) and the human IgG4 heavy chain constant region/human kappa light chain constant region (SEQ ID NO:32/33), respectively, were double digested with restriction endonucleases Hind III and Xba I (Fermentas) then inserted into the commercial vector pcDNA3 (Invitrogen). After plasmid extraction, a 1.8 kb fragment was obtained by triple digestion of pCDNA3 light chain vector with NruI+NaeI+Dra I then inserted into the CHO/dhfr system expression vector pSSE (Sino Biological, …)”</v>
          </cell>
        </row>
        <row r="22">
          <cell r="A22" t="str">
            <v>Garadacimab</v>
          </cell>
          <cell r="F22" t="str">
            <v>https://patents.google.com/patent/US20230002508A1/en?oq=US20230002508</v>
          </cell>
          <cell r="G22" t="str">
            <v>“[0082] …the antibody may be produced by introducing a nucleic acid encoding the antibody into a suitable cell, e.g., a mammalian cell line, such as CHO, HEK293, MDCK, COS, HeLa, or myeloma cell lines such as NS0.“[0136] SEQ ID NO : 11 is a nucleic acid sequence encoding for the heavy chain of anti‑FXII antibody CSL312.”“[0137] SEQ ID NO : 12 is a nucleic acid sequence encoding for the light chain of anti‑FXII antibody CSL312.”</v>
          </cell>
        </row>
        <row r="23">
          <cell r="A23" t="str">
            <v>Daclizumab</v>
          </cell>
          <cell r="F23" t="str">
            <v>https://patents.google.com/patent/US9815903B2/en?oq=+US+9815903</v>
          </cell>
          <cell r="G23" t="str">
            <v>“FIG. 1 provides DAC‑HYP light chain cDNA (SEQ ID NO: 1) and translated amino acid (SEQ ID NO: 2) sequences.”“FIG. 2 provides DAC‑HYP heavy chain cDNA (SEQ ID NO: 3) and translated amino acid sequences (SEQ ID NO: 4). The bold, underlined glutamine ( ) residue is the first amino acid in the properly processed mature protein; the amino acid sequence upstream of this residue corresponds to the signal sequence.”“Host cells useful for producing a daclizumab recombinantly include mammalian cells, for example, Chinese Hamster Ovary ( CHO ) cells, NSO murine myeloma cells, Sp2 / 0 cells, PER . C6 cells, Vero cells, BHK cells, HT1080 cells, COS7 cells, W138 cells, CV - 1 / EBNA cells, L cells, 3T3 cells, HEPG2 cells, MDCK cells and 293 cells.”</v>
          </cell>
        </row>
        <row r="24">
          <cell r="A24" t="str">
            <v>Natalizumab</v>
          </cell>
          <cell r="F24" t="str">
            <v>https://patents.google.com/patent/US20240174738A1/en</v>
          </cell>
          <cell r="G24" t="str">
            <v>“The cDNA sequence for the heavy chain of natalizumab (SEQ ID NO: 16) was obtained from the amino acid sequences of a leader sequence (SEQ ID NO: 13), the heavy chain variable region of natalizumab (SEQ ID NO: 14, Kabat numbering) and the human IgG4 heavy chain constant region (SEQ ID NO: 15, sequential numbering, Eu numbering starting at alanine 118; having a proline residue at position 225 and a cysteine residue at position 375).”“The cDNA sequence for the natalizumab light chain (SEQ ID NO: 19) was obtained from the amino acid sequences of a leader sequence (SEQ ID NO: 17), the light chain variable region of natalizumab (SEQ ID NO: 18, Kabat numbering), and the human κ Ig light chain constant region (SEQ ID NO: 6, sequential numbering).”“…back‑translating the combined amino acid sequences into a cDNA sequence optimized for expression in human cells (Homo sapiens).”“for example mammalian cells such as CHO, NSO or HEK 293 cells, or yeast cells (for example diploid yeast such as diploid Pichia)”“recombinant host cells, for example mammalian cells such as CHO, NSO or HEK 293 cells, or yeast cells (for example diploid yeast such as diploid Pichia)”</v>
          </cell>
        </row>
        <row r="25">
          <cell r="A25" t="str">
            <v>Tremelimumab</v>
          </cell>
          <cell r="F25" t="str">
            <v>US9487581B2 - Anti-CTLA-4 antibody compositions - Google Patents</v>
          </cell>
          <cell r="G25" t="str">
            <v>“FIG. 11A shows the full length nucleotide sequence for the 11.2.1 heavy chain (SEQ ID NO: 1).”“FIG. 11C shows the nucleotide sequence for the 11.2.1 light chain (SEQ ID NO: 3).”“Mammalian cell lines available as hosts for expression are well known in the art and include many immortalized cell lines available from the American Type Culture Collection (ATCC), including but not limited to Chinese hamster ovary (CHO) cells, NSO cells, HeLa cells, baby hamster kidney (BHK) cells, monkey kidney cells (COS), human hepatocellular carcinoma cells (e.g., Hep G2), and a number of other cell lines.”</v>
          </cell>
        </row>
        <row r="26">
          <cell r="A26" t="str">
            <v>Canakinumab</v>
          </cell>
          <cell r="F26" t="str">
            <v>https://patents.google.com/patent/WO2018229612A1/en?oq=+WO2018229612</v>
          </cell>
          <cell r="G26" t="str">
            <v>“SEQ ID NO:30 (DNA Heavy Chain, mAb2): Full-length nucleotide sequence encoding mAb2 heavy chain; includes variable region (VH), constant regions, and leader sequence; used for recombinant antibody expression.”“SEQ ID NO:40 (DNA Light Chain, mAb2): Full-length nucleotide sequence encoding mAb2 light chain; includes variable region (VL), constant regions, and leader sequence; used for recombinant antibody expression.”“As will be shown below, embodiments of the invention enable manufacturing of bbmAb by the use of a CHO co-expression…”</v>
          </cell>
        </row>
        <row r="27">
          <cell r="A27" t="str">
            <v>Nirsevimab</v>
          </cell>
          <cell r="F27" t="str">
            <v>https://patents.google.com/patent/US10774133B2/en?oq=US+10774133</v>
          </cell>
          <cell r="G27" t="str">
            <v>“FIG. 2 shows the MEDI8897 light chain nucleotide sequence (SEQ ID NO: 11) and amino acid translation (SEQ ID NO: 1).”“FIG. 1 shows the MEDI8897 heavy chain nucleotide sequence (SEQ ID NO: 12) and amino acid translation (SEQ ID NO: 2).”“The present invention provides a host cell comprising an expression vector… [and] a process for recombinantly producing [the antibody] comprising culturing the host cell…”“The present invention provides an expression vector comprising a nucleic acid according to the present invention. The present invention provides a host cell comprising an expression vector according to the present invention.”Although not stated, MedImmune/AstraZeneca historically uses:
Mammalian expression, especially CHO cells - CAI is 0.98 , almost certainly optimized for cho</v>
          </cell>
        </row>
        <row r="28">
          <cell r="A28" t="str">
            <v>Amivantamab 1</v>
          </cell>
          <cell r="F28" t="str">
            <v>US9695242B2 - Bispecific EGFR/c-Met antibodies - Google Patents</v>
          </cell>
          <cell r="G28" t="str">
            <v>" The monospecific antibodies were expressed in two CHO cell lines, one cell line having reduced fucosylation ability resulting in antibodies with 1-15% fucose content in the antibody polysaccharide chain.""Other useful cell lines include those derived from Chinese Hamster Ovary (CHO) cells such as CHO-K1SV (Lonza Biologics, Walkersville, Md.), CHO-K1 (ATCC CRL-61) or DG44." ", application of a variant CHO line Lec13 as the host cell line (Shields et al., J Biol Chem 277:26733-26740, 2002), application of a variant CHO line EB66 as the host cell line (Olivier et al., MAbs: 2(4), 2010: Epub ahead of print; PMID:20562582), appli "“Antibodies produced by non-engineered CHO cells typically have a glycan fucose content of about at least 85%.”“The host cell chosen for expression may be of mammalian origin or may be selected from COS-1, COS-7, HEK293, BHK21, CHO, BSC-1, Hep G2, SP2/0, HeLa, myeloma, lymphoma, yeast, insect or plant cells, or any derivative, immortalized or transformed cell thereof.”“**In some embodiments described herein, the bispecific EGFR/c-Met antibody comprises the HC1, the LC1, the HC2 and the LC2, **wherein 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v>
          </cell>
        </row>
        <row r="29">
          <cell r="A29" t="str">
            <v>Amivantamab 2</v>
          </cell>
          <cell r="F29" t="str">
            <v>US9695242B2 - Bispecific EGFR/c-Met antibodies - Google Patents</v>
          </cell>
          <cell r="G29" t="str">
            <v>" The monospecific antibodies were expressed in two CHO cell lines, one cell line having reduced fucosylation ability resulting in antibodies with 1-15% fucose content in the antibody polysaccharide chain.""Other useful cell lines include those derived from Chinese Hamster Ovary (CHO) cells such as CHO-K1SV (Lonza Biologics, Walkersville, Md.), CHO-K1 (ATCC CRL-61) or DG44." ", application of a variant CHO line Lec13 as the host cell line (Shields et al., J Biol Chem 277:26733-26740, 2002), application of a variant CHO line EB66 as the host cell line (Olivier et al., MAbs: 2(4), 2010: Epub ahead of print; PMID:20562582), appli "“Antibodies produced by non-engineered CHO cells typically have a glycan fucose content of about at least 85%.”“The host cell chosen for expression may be of mammalian origin or may be selected from COS-1, COS-7, HEK293, BHK21, CHO, BSC-1, Hep G2, SP2/0, HeLa, myeloma, lymphoma, yeast, insect or plant cells, or any derivative, immortalized or transformed cell thereof.”“**In some embodiments described herein, the bispecific EGFR/c-Met antibody comprises the HC1, the LC1, the HC2 and the LC2, **wherein 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49"/>
  <sheetViews>
    <sheetView tabSelected="1" workbookViewId="0">
      <pane ySplit="1" topLeftCell="A41" activePane="bottomLeft" state="frozen"/>
      <selection pane="bottomLeft" activeCell="B55" sqref="B55"/>
    </sheetView>
  </sheetViews>
  <sheetFormatPr defaultRowHeight="14.5" x14ac:dyDescent="0.35"/>
  <cols>
    <col min="1" max="1" width="21.54296875" customWidth="1"/>
    <col min="2" max="9" width="28.7265625" customWidth="1"/>
    <col min="10" max="11" width="75.7265625" customWidth="1"/>
    <col min="12" max="12" width="21.81640625" customWidth="1"/>
    <col min="13" max="18" width="30.81640625" customWidth="1"/>
    <col min="19" max="19" width="19.453125" customWidth="1"/>
    <col min="20" max="20" width="21.54296875" customWidth="1"/>
    <col min="21" max="21" width="27.453125" customWidth="1"/>
    <col min="23" max="23" width="23.54296875" customWidth="1"/>
    <col min="25" max="26" width="48.453125" customWidth="1"/>
    <col min="27" max="27" width="21.1796875" customWidth="1"/>
    <col min="28" max="28" width="25.54296875" customWidth="1"/>
    <col min="45" max="45" width="31" customWidth="1"/>
    <col min="47" max="47" width="28.7265625" customWidth="1"/>
    <col min="48" max="48" width="18.81640625" customWidth="1"/>
    <col min="49" max="49" width="21.81640625" customWidth="1"/>
    <col min="50" max="50" width="20.54296875" customWidth="1"/>
  </cols>
  <sheetData>
    <row r="1" spans="1:43" x14ac:dyDescent="0.35">
      <c r="A1" t="s">
        <v>87</v>
      </c>
      <c r="B1" s="1" t="s">
        <v>0</v>
      </c>
      <c r="C1" s="1" t="s">
        <v>80</v>
      </c>
      <c r="D1" s="1" t="s">
        <v>81</v>
      </c>
      <c r="E1" s="1" t="s">
        <v>82</v>
      </c>
      <c r="F1" s="1" t="s">
        <v>83</v>
      </c>
      <c r="G1" s="1" t="s">
        <v>84</v>
      </c>
      <c r="H1" s="1" t="s">
        <v>85</v>
      </c>
      <c r="I1" s="1" t="s">
        <v>86</v>
      </c>
      <c r="J1" s="1" t="s">
        <v>112</v>
      </c>
      <c r="K1" s="1" t="s">
        <v>113</v>
      </c>
      <c r="L1" s="1" t="s">
        <v>125</v>
      </c>
      <c r="M1" s="1" t="s">
        <v>49</v>
      </c>
      <c r="N1" s="1" t="s">
        <v>53</v>
      </c>
      <c r="O1" s="1" t="s">
        <v>54</v>
      </c>
      <c r="P1" s="1" t="s">
        <v>55</v>
      </c>
      <c r="Q1" s="1" t="s">
        <v>50</v>
      </c>
      <c r="R1" s="1" t="s">
        <v>51</v>
      </c>
      <c r="S1" s="1" t="s">
        <v>52</v>
      </c>
      <c r="T1" s="1" t="s">
        <v>77</v>
      </c>
      <c r="U1" s="1" t="s">
        <v>56</v>
      </c>
      <c r="V1" s="1" t="s">
        <v>78</v>
      </c>
      <c r="W1" s="1" t="s">
        <v>57</v>
      </c>
      <c r="X1" s="1" t="s">
        <v>79</v>
      </c>
      <c r="Y1" s="1" t="s">
        <v>58</v>
      </c>
      <c r="Z1" s="1" t="s">
        <v>59</v>
      </c>
      <c r="AA1" s="1" t="s">
        <v>60</v>
      </c>
      <c r="AB1" s="1" t="s">
        <v>61</v>
      </c>
      <c r="AC1" s="1" t="s">
        <v>62</v>
      </c>
      <c r="AD1" s="1" t="s">
        <v>63</v>
      </c>
      <c r="AE1" s="1" t="s">
        <v>64</v>
      </c>
      <c r="AF1" s="1" t="s">
        <v>65</v>
      </c>
      <c r="AG1" s="1" t="s">
        <v>66</v>
      </c>
      <c r="AH1" s="1" t="s">
        <v>67</v>
      </c>
      <c r="AI1" s="1" t="s">
        <v>68</v>
      </c>
      <c r="AJ1" s="1" t="s">
        <v>69</v>
      </c>
      <c r="AK1" s="1" t="s">
        <v>70</v>
      </c>
      <c r="AL1" s="1" t="s">
        <v>71</v>
      </c>
      <c r="AM1" s="1" t="s">
        <v>72</v>
      </c>
      <c r="AN1" s="1" t="s">
        <v>73</v>
      </c>
      <c r="AO1" s="1" t="s">
        <v>74</v>
      </c>
      <c r="AP1" s="1" t="s">
        <v>75</v>
      </c>
      <c r="AQ1" s="1" t="s">
        <v>76</v>
      </c>
    </row>
    <row r="2" spans="1:43" x14ac:dyDescent="0.35">
      <c r="A2" t="s">
        <v>110</v>
      </c>
      <c r="B2" s="1" t="s">
        <v>1</v>
      </c>
      <c r="C2" s="1" t="str">
        <f>_xlfn.XLOOKUP(A2,'[1]Results Filtered'!$H:$H,'[1]Results Filtered'!$A:$A)</f>
        <v>One Chain from Bispecific</v>
      </c>
      <c r="D2" s="1" t="str">
        <f>_xlfn.XLOOKUP(A2,'[1]Results Filtered'!$H:$H,'[1]Results Filtered'!$B:$B)</f>
        <v>G1;G1</v>
      </c>
      <c r="E2" s="1" t="str">
        <f>_xlfn.XLOOKUP(A2,'[1]Results Filtered'!$H:$H,'[1]Results Filtered'!$C:$C)</f>
        <v>Kappa;Kappa</v>
      </c>
      <c r="F2" s="1" t="str">
        <f>_xlfn.XLOOKUP(A2,'[1]Results Filtered'!$H:$H,'[1]Results Filtered'!$D:$D)</f>
        <v>EGFR/ERBB1/HER1;MET/HGFR</v>
      </c>
      <c r="G2" s="1"/>
      <c r="H2" s="1" t="str">
        <f>_xlfn.XLOOKUP(A2,'[1]Results Filtered'!$H:$H,'[1]Results Filtered'!$F:$F)</f>
        <v>Approved</v>
      </c>
      <c r="I2" s="1" t="str">
        <f>_xlfn.XLOOKUP(A2,'[1]Results Filtered'!$H:$H,'[1]Results Filtered'!$G:$G)</f>
        <v>Genmab;Janssen Research &amp; Development</v>
      </c>
      <c r="J2" s="1" t="s">
        <v>146</v>
      </c>
      <c r="K2" s="1" t="str">
        <f>_xlfn.XLOOKUP(A2,'[2]Monoclonals Final'!$A:$A,'[2]Monoclonals Final'!$G:$G)</f>
        <v>" The monospecific antibodies were expressed in two CHO cell lines, one cell line having reduced fucosylation ability resulting in antibodies with 1-15% fucose content in the antibody polysaccharide chain.""Other useful cell lines include those derived from Chinese Hamster Ovary (CHO) cells such as CHO-K1SV (Lonza Biologics, Walkersville, Md.), CHO-K1 (ATCC CRL-61) or DG44." ", application of a variant CHO line Lec13 as the host cell line (Shields et al., J Biol Chem 277:26733-26740, 2002), application of a variant CHO line EB66 as the host cell line (Olivier et al., MAbs: 2(4), 2010: Epub ahead of print; PMID:20562582), appli "“Antibodies produced by non-engineered CHO cells typically have a glycan fucose content of about at least 85%.”“The host cell chosen for expression may be of mammalian origin or may be selected from COS-1, COS-7, HEK293, BHK21, CHO, BSC-1, Hep G2, SP2/0, HeLa, myeloma, lymphoma, yeast, insect or plant cells, or any derivative, immortalized or transformed cell thereof.”“**In some embodiments described herein, the bispecific EGFR/c-Met antibody comprises the HC1, the LC1, the HC2 and the LC2, **wherein 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v>
      </c>
      <c r="L2" s="4">
        <v>205206</v>
      </c>
      <c r="M2" s="1">
        <v>14.010103921810304</v>
      </c>
      <c r="N2" s="1">
        <v>1.91</v>
      </c>
      <c r="O2" s="1">
        <v>1.895</v>
      </c>
      <c r="P2" s="1">
        <v>1.897</v>
      </c>
      <c r="Q2" s="1">
        <v>119.62906233273202</v>
      </c>
      <c r="R2" s="1">
        <v>127.49370814826082</v>
      </c>
      <c r="S2" s="1">
        <v>84.088072836191174</v>
      </c>
      <c r="T2" s="1">
        <v>3.5300015873337052</v>
      </c>
      <c r="U2" s="1">
        <v>2.7944025180067729</v>
      </c>
      <c r="V2" s="1">
        <v>0.36778456966082257</v>
      </c>
      <c r="W2" s="1">
        <v>0.10446549495271111</v>
      </c>
      <c r="X2" s="1">
        <v>2303736.8286011755</v>
      </c>
      <c r="Y2" s="1">
        <v>1400467.7992733035</v>
      </c>
      <c r="Z2" s="1">
        <v>2.069934682</v>
      </c>
      <c r="AA2" s="1">
        <v>111.776472828</v>
      </c>
      <c r="AB2" s="1">
        <v>2.0485215640000001</v>
      </c>
      <c r="AC2" s="1">
        <v>110.620164456</v>
      </c>
      <c r="AD2" s="1">
        <v>1.7987018610000001</v>
      </c>
      <c r="AE2" s="1">
        <v>97.129900493999997</v>
      </c>
      <c r="AF2" s="1">
        <v>12.82</v>
      </c>
      <c r="AG2" s="1">
        <v>0</v>
      </c>
      <c r="AH2" s="1">
        <v>87.18</v>
      </c>
      <c r="AI2" s="1">
        <v>2.46</v>
      </c>
      <c r="AJ2" s="1">
        <v>11.45</v>
      </c>
      <c r="AK2" s="1">
        <v>0</v>
      </c>
      <c r="AL2" s="1">
        <v>88.55</v>
      </c>
      <c r="AM2" s="1">
        <v>2.4500000000000002</v>
      </c>
      <c r="AN2" s="1">
        <v>15.68</v>
      </c>
      <c r="AO2" s="1">
        <v>0</v>
      </c>
      <c r="AP2" s="1">
        <v>84.32</v>
      </c>
      <c r="AQ2" s="1">
        <v>2.4500000000000002</v>
      </c>
    </row>
    <row r="3" spans="1:43" x14ac:dyDescent="0.35">
      <c r="A3" t="s">
        <v>110</v>
      </c>
      <c r="B3" s="1" t="s">
        <v>2</v>
      </c>
      <c r="C3" s="1" t="str">
        <f>_xlfn.XLOOKUP(A3,'[1]Results Filtered'!$H:$H,'[1]Results Filtered'!$A:$A)</f>
        <v>One Chain from Bispecific</v>
      </c>
      <c r="D3" s="1" t="str">
        <f>_xlfn.XLOOKUP(A3,'[1]Results Filtered'!$H:$H,'[1]Results Filtered'!$B:$B)</f>
        <v>G1;G1</v>
      </c>
      <c r="E3" s="1" t="str">
        <f>_xlfn.XLOOKUP(A3,'[1]Results Filtered'!$H:$H,'[1]Results Filtered'!$C:$C)</f>
        <v>Kappa;Kappa</v>
      </c>
      <c r="F3" s="1" t="str">
        <f>_xlfn.XLOOKUP(A3,'[1]Results Filtered'!$H:$H,'[1]Results Filtered'!$D:$D)</f>
        <v>EGFR/ERBB1/HER1;MET/HGFR</v>
      </c>
      <c r="G3" s="1"/>
      <c r="H3" s="1" t="str">
        <f>_xlfn.XLOOKUP(A3,'[1]Results Filtered'!$H:$H,'[1]Results Filtered'!$F:$F)</f>
        <v>Approved</v>
      </c>
      <c r="I3" s="1" t="str">
        <f>_xlfn.XLOOKUP(A3,'[1]Results Filtered'!$H:$H,'[1]Results Filtered'!$G:$G)</f>
        <v>Genmab;Janssen Research &amp; Development</v>
      </c>
      <c r="J3" s="1" t="s">
        <v>146</v>
      </c>
      <c r="K3" s="1" t="str">
        <f>_xlfn.XLOOKUP(A3,'[2]Monoclonals Final'!$A:$A,'[2]Monoclonals Final'!$G:$G)</f>
        <v>" The monospecific antibodies were expressed in two CHO cell lines, one cell line having reduced fucosylation ability resulting in antibodies with 1-15% fucose content in the antibody polysaccharide chain.""Other useful cell lines include those derived from Chinese Hamster Ovary (CHO) cells such as CHO-K1SV (Lonza Biologics, Walkersville, Md.), CHO-K1 (ATCC CRL-61) or DG44." ", application of a variant CHO line Lec13 as the host cell line (Shields et al., J Biol Chem 277:26733-26740, 2002), application of a variant CHO line EB66 as the host cell line (Olivier et al., MAbs: 2(4), 2010: Epub ahead of print; PMID:20562582), appli "“Antibodies produced by non-engineered CHO cells typically have a glycan fucose content of about at least 85%.”“The host cell chosen for expression may be of mammalian origin or may be selected from COS-1, COS-7, HEK293, BHK21, CHO, BSC-1, Hep G2, SP2/0, HeLa, myeloma, lymphoma, yeast, insect or plant cells, or any derivative, immortalized or transformed cell thereof.”“**In some embodiments described herein, the bispecific EGFR/c-Met antibody comprises the HC1, the LC1, the HC2 and the LC2, **wherein 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v>
      </c>
      <c r="L3" s="4">
        <v>205206</v>
      </c>
      <c r="M3" s="1">
        <v>14.010103921810304</v>
      </c>
      <c r="N3" s="1">
        <v>1.893</v>
      </c>
      <c r="O3" s="1">
        <v>1.8959999999999999</v>
      </c>
      <c r="P3" s="1">
        <v>1.8959999999999999</v>
      </c>
      <c r="Q3" s="1">
        <v>114.20723320187622</v>
      </c>
      <c r="R3" s="1">
        <v>131.66584810409145</v>
      </c>
      <c r="S3" s="1">
        <v>86.649860253956376</v>
      </c>
      <c r="T3" s="1">
        <v>3.8526950518757985</v>
      </c>
      <c r="U3" s="1">
        <v>1.5086209339345253</v>
      </c>
      <c r="V3" s="1">
        <v>0.6316261192162832</v>
      </c>
      <c r="W3" s="1">
        <v>0.41901502027313531</v>
      </c>
      <c r="X3" s="1">
        <v>2273062.7512419955</v>
      </c>
      <c r="Y3" s="1">
        <v>738795.56188471429</v>
      </c>
      <c r="Z3" s="1">
        <v>2.0913477989999998</v>
      </c>
      <c r="AA3" s="1">
        <v>112.93278114599998</v>
      </c>
      <c r="AB3" s="1">
        <v>2.1341740339999999</v>
      </c>
      <c r="AC3" s="1">
        <v>115.245397836</v>
      </c>
      <c r="AD3" s="1">
        <v>1.83439039</v>
      </c>
      <c r="AE3" s="1">
        <v>99.057081060000002</v>
      </c>
      <c r="AF3" s="1">
        <v>15.33</v>
      </c>
      <c r="AG3" s="1">
        <v>0</v>
      </c>
      <c r="AH3" s="1">
        <v>84.67</v>
      </c>
      <c r="AI3" s="1">
        <v>2.46</v>
      </c>
      <c r="AJ3" s="1">
        <v>13.47</v>
      </c>
      <c r="AK3" s="1">
        <v>0.01</v>
      </c>
      <c r="AL3" s="1">
        <v>86.52</v>
      </c>
      <c r="AM3" s="1">
        <v>2.4500000000000002</v>
      </c>
      <c r="AN3" s="1">
        <v>11.69</v>
      </c>
      <c r="AO3" s="1">
        <v>0</v>
      </c>
      <c r="AP3" s="1">
        <v>88.31</v>
      </c>
      <c r="AQ3" s="1">
        <v>2.46</v>
      </c>
    </row>
    <row r="4" spans="1:43" x14ac:dyDescent="0.35">
      <c r="A4" t="s">
        <v>111</v>
      </c>
      <c r="B4" s="1" t="s">
        <v>3</v>
      </c>
      <c r="C4" s="1" t="str">
        <f>_xlfn.XLOOKUP(A4,'[1]Results Filtered'!$H:$H,'[1]Results Filtered'!$A:$A)</f>
        <v>One Chain from Bispecific</v>
      </c>
      <c r="D4" s="1" t="str">
        <f>_xlfn.XLOOKUP(A4,'[1]Results Filtered'!$H:$H,'[1]Results Filtered'!$B:$B)</f>
        <v>G1;G1</v>
      </c>
      <c r="E4" s="1" t="str">
        <f>_xlfn.XLOOKUP(A4,'[1]Results Filtered'!$H:$H,'[1]Results Filtered'!$C:$C)</f>
        <v>Kappa;Kappa</v>
      </c>
      <c r="F4" s="1" t="str">
        <f>_xlfn.XLOOKUP(A4,'[1]Results Filtered'!$H:$H,'[1]Results Filtered'!$D:$D)</f>
        <v>EGFR/ERBB1/HER1;MET/HGFR</v>
      </c>
      <c r="G4" s="1"/>
      <c r="H4" s="1" t="str">
        <f>_xlfn.XLOOKUP(A4,'[1]Results Filtered'!$H:$H,'[1]Results Filtered'!$F:$F)</f>
        <v>Approved</v>
      </c>
      <c r="I4" s="1" t="str">
        <f>_xlfn.XLOOKUP(A4,'[1]Results Filtered'!$H:$H,'[1]Results Filtered'!$G:$G)</f>
        <v>Genmab;Janssen Research &amp; Development</v>
      </c>
      <c r="J4" s="1" t="s">
        <v>146</v>
      </c>
      <c r="K4" s="1" t="str">
        <f>_xlfn.XLOOKUP(A4,'[2]Monoclonals Final'!$A:$A,'[2]Monoclonals Final'!$G:$G)</f>
        <v>" The monospecific antibodies were expressed in two CHO cell lines, one cell line having reduced fucosylation ability resulting in antibodies with 1-15% fucose content in the antibody polysaccharide chain.""Other useful cell lines include those derived from Chinese Hamster Ovary (CHO) cells such as CHO-K1SV (Lonza Biologics, Walkersville, Md.), CHO-K1 (ATCC CRL-61) or DG44." ", application of a variant CHO line Lec13 as the host cell line (Shields et al., J Biol Chem 277:26733-26740, 2002), application of a variant CHO line EB66 as the host cell line (Olivier et al., MAbs: 2(4), 2010: Epub ahead of print; PMID:20562582), appli "“Antibodies produced by non-engineered CHO cells typically have a glycan fucose content of about at least 85%.”“The host cell chosen for expression may be of mammalian origin or may be selected from COS-1, COS-7, HEK293, BHK21, CHO, BSC-1, Hep G2, SP2/0, HeLa, myeloma, lymphoma, yeast, insect or plant cells, or any derivative, immortalized or transformed cell thereof.”“**In some embodiments described herein, the bispecific EGFR/c-Met antibody comprises the HC1, the LC1, the HC2 and the LC2, **wherein 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v>
      </c>
      <c r="L4" s="4">
        <v>207208</v>
      </c>
      <c r="M4" s="1">
        <v>14.653293594073402</v>
      </c>
      <c r="N4" s="1">
        <v>1.88</v>
      </c>
      <c r="O4" s="1">
        <v>1.8819999999999999</v>
      </c>
      <c r="P4" s="1">
        <v>1.8819999999999999</v>
      </c>
      <c r="Q4" s="1">
        <v>219.65180375122088</v>
      </c>
      <c r="R4" s="1">
        <v>235.72837309251841</v>
      </c>
      <c r="S4" s="1">
        <v>163.54966959527584</v>
      </c>
      <c r="T4" s="1">
        <v>4.9827371858176166</v>
      </c>
      <c r="U4" s="1">
        <v>0.49784515901102888</v>
      </c>
      <c r="V4" s="1">
        <v>0.41476282477378845</v>
      </c>
      <c r="W4" s="1">
        <v>0.12761624161506727</v>
      </c>
      <c r="X4" s="1">
        <v>2997214.5306704654</v>
      </c>
      <c r="Y4" s="1">
        <v>636913.67725328275</v>
      </c>
      <c r="Z4" s="1">
        <v>2.497731978</v>
      </c>
      <c r="AA4" s="1">
        <v>134.87752681200001</v>
      </c>
      <c r="AB4" s="1">
        <v>2.3134730619999999</v>
      </c>
      <c r="AC4" s="1">
        <v>124.927545348</v>
      </c>
      <c r="AD4" s="1">
        <v>2.3066486579999999</v>
      </c>
      <c r="AE4" s="1">
        <v>124.55902753199999</v>
      </c>
      <c r="AF4" s="1">
        <v>27.41</v>
      </c>
      <c r="AG4" s="1">
        <v>0</v>
      </c>
      <c r="AH4" s="1">
        <v>72.59</v>
      </c>
      <c r="AI4" s="1">
        <v>2.57</v>
      </c>
      <c r="AJ4" s="1">
        <v>26.62</v>
      </c>
      <c r="AK4" s="1">
        <v>0</v>
      </c>
      <c r="AL4" s="1">
        <v>73.38</v>
      </c>
      <c r="AM4" s="1">
        <v>2.56</v>
      </c>
      <c r="AN4" s="1">
        <v>33.630000000000003</v>
      </c>
      <c r="AO4" s="1">
        <v>0</v>
      </c>
      <c r="AP4" s="1">
        <v>66.37</v>
      </c>
      <c r="AQ4" s="1">
        <v>2.56</v>
      </c>
    </row>
    <row r="5" spans="1:43" x14ac:dyDescent="0.35">
      <c r="A5" t="s">
        <v>111</v>
      </c>
      <c r="B5" s="1" t="s">
        <v>4</v>
      </c>
      <c r="C5" s="1" t="str">
        <f>_xlfn.XLOOKUP(A5,'[1]Results Filtered'!$H:$H,'[1]Results Filtered'!$A:$A)</f>
        <v>One Chain from Bispecific</v>
      </c>
      <c r="D5" s="1" t="str">
        <f>_xlfn.XLOOKUP(A5,'[1]Results Filtered'!$H:$H,'[1]Results Filtered'!$B:$B)</f>
        <v>G1;G1</v>
      </c>
      <c r="E5" s="1" t="str">
        <f>_xlfn.XLOOKUP(A5,'[1]Results Filtered'!$H:$H,'[1]Results Filtered'!$C:$C)</f>
        <v>Kappa;Kappa</v>
      </c>
      <c r="F5" s="1" t="str">
        <f>_xlfn.XLOOKUP(A5,'[1]Results Filtered'!$H:$H,'[1]Results Filtered'!$D:$D)</f>
        <v>EGFR/ERBB1/HER1;MET/HGFR</v>
      </c>
      <c r="G5" s="1"/>
      <c r="H5" s="1" t="str">
        <f>_xlfn.XLOOKUP(A5,'[1]Results Filtered'!$H:$H,'[1]Results Filtered'!$F:$F)</f>
        <v>Approved</v>
      </c>
      <c r="I5" s="1" t="str">
        <f>_xlfn.XLOOKUP(A5,'[1]Results Filtered'!$H:$H,'[1]Results Filtered'!$G:$G)</f>
        <v>Genmab;Janssen Research &amp; Development</v>
      </c>
      <c r="J5" s="1" t="s">
        <v>146</v>
      </c>
      <c r="K5" s="1" t="str">
        <f>_xlfn.XLOOKUP(A5,'[2]Monoclonals Final'!$A:$A,'[2]Monoclonals Final'!$G:$G)</f>
        <v>" The monospecific antibodies were expressed in two CHO cell lines, one cell line having reduced fucosylation ability resulting in antibodies with 1-15% fucose content in the antibody polysaccharide chain.""Other useful cell lines include those derived from Chinese Hamster Ovary (CHO) cells such as CHO-K1SV (Lonza Biologics, Walkersville, Md.), CHO-K1 (ATCC CRL-61) or DG44." ", application of a variant CHO line Lec13 as the host cell line (Shields et al., J Biol Chem 277:26733-26740, 2002), application of a variant CHO line EB66 as the host cell line (Olivier et al., MAbs: 2(4), 2010: Epub ahead of print; PMID:20562582), appli "“Antibodies produced by non-engineered CHO cells typically have a glycan fucose content of about at least 85%.”“The host cell chosen for expression may be of mammalian origin or may be selected from COS-1, COS-7, HEK293, BHK21, CHO, BSC-1, Hep G2, SP2/0, HeLa, myeloma, lymphoma, yeast, insect or plant cells, or any derivative, immortalized or transformed cell thereof.”“**In some embodiments described herein, the bispecific EGFR/c-Met antibody comprises the HC1, the LC1, the HC2 and the LC2, **wherein 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v>
      </c>
      <c r="L5" s="4">
        <v>207208</v>
      </c>
      <c r="M5" s="1">
        <v>14.653293594073402</v>
      </c>
      <c r="N5" s="1">
        <v>1.88</v>
      </c>
      <c r="O5" s="1">
        <v>1.8839999999999999</v>
      </c>
      <c r="P5" s="1">
        <v>1.8819999999999999</v>
      </c>
      <c r="Q5" s="1">
        <v>19.336144970927684</v>
      </c>
      <c r="R5" s="1">
        <v>20.420747998603147</v>
      </c>
      <c r="S5" s="1">
        <v>7.6416236204248653</v>
      </c>
      <c r="T5" s="1">
        <v>472.39678139613756</v>
      </c>
      <c r="U5" s="1">
        <v>805.89694582462596</v>
      </c>
      <c r="V5" s="1">
        <v>0.74406315883000695</v>
      </c>
      <c r="W5" s="1">
        <v>0.11451387647320392</v>
      </c>
      <c r="X5" s="1">
        <v>3235195.6242246013</v>
      </c>
      <c r="Y5" s="1">
        <v>591241.8362542066</v>
      </c>
      <c r="Z5" s="1">
        <v>0.65514281399999996</v>
      </c>
      <c r="AA5" s="1">
        <v>35.377711955999999</v>
      </c>
      <c r="AB5" s="1">
        <v>0.70973804900000004</v>
      </c>
      <c r="AC5" s="1">
        <v>38.325854646000003</v>
      </c>
      <c r="AD5" s="1">
        <v>0.58007436700000004</v>
      </c>
      <c r="AE5" s="1">
        <v>31.324015818000003</v>
      </c>
      <c r="AF5" s="1">
        <v>22.52</v>
      </c>
      <c r="AG5" s="1">
        <v>0</v>
      </c>
      <c r="AH5" s="1">
        <v>77.48</v>
      </c>
      <c r="AI5" s="1">
        <v>2.57</v>
      </c>
      <c r="AJ5" s="1">
        <v>21.19</v>
      </c>
      <c r="AK5" s="1">
        <v>0</v>
      </c>
      <c r="AL5" s="1">
        <v>78.81</v>
      </c>
      <c r="AM5" s="1">
        <v>2.56</v>
      </c>
      <c r="AN5" s="1">
        <v>21.02</v>
      </c>
      <c r="AO5" s="1">
        <v>0</v>
      </c>
      <c r="AP5" s="1">
        <v>78.97</v>
      </c>
      <c r="AQ5" s="1">
        <v>2.56</v>
      </c>
    </row>
    <row r="6" spans="1:43" x14ac:dyDescent="0.35">
      <c r="A6" t="s">
        <v>88</v>
      </c>
      <c r="B6" s="1" t="s">
        <v>5</v>
      </c>
      <c r="C6" s="1" t="str">
        <f>_xlfn.XLOOKUP(A6,'[1]Results Filtered'!$H:$H,'[1]Results Filtered'!$A:$A)</f>
        <v>Whole mAb</v>
      </c>
      <c r="D6" s="1" t="str">
        <f>_xlfn.XLOOKUP(A6,'[1]Results Filtered'!$H:$H,'[1]Results Filtered'!$B:$B)</f>
        <v>G1</v>
      </c>
      <c r="E6" s="1" t="str">
        <f>_xlfn.XLOOKUP(A6,'[1]Results Filtered'!$H:$H,'[1]Results Filtered'!$C:$C)</f>
        <v>Lambda</v>
      </c>
      <c r="F6" s="1" t="str">
        <f>_xlfn.XLOOKUP(A6,'[1]Results Filtered'!$H:$H,'[1]Results Filtered'!$D:$D)</f>
        <v>TNFSF13B/CD257/BAFF</v>
      </c>
      <c r="G6" s="1"/>
      <c r="H6" s="1" t="str">
        <f>_xlfn.XLOOKUP(A6,'[1]Results Filtered'!$H:$H,'[1]Results Filtered'!$F:$F)</f>
        <v>Approved</v>
      </c>
      <c r="I6" s="1" t="str">
        <f>_xlfn.XLOOKUP(A6,'[1]Results Filtered'!$H:$H,'[1]Results Filtered'!$G:$G)</f>
        <v>Assistance Publique Hopitaux de Paris;Cancer Trials Australia;GlaxoSmithKline;Hospital for Special Surgery;Human Genome Sciences;North Shore-Long Island Jewish Health System;University of Alabama at Birmingham;University of Pennsylvania;University of Wisconsin-Madison;Washington University School of Medicine;Cambridge Antibody Technology</v>
      </c>
      <c r="J6" s="1" t="s">
        <v>114</v>
      </c>
      <c r="K6" s="1" t="s">
        <v>115</v>
      </c>
      <c r="L6" s="5" t="s">
        <v>126</v>
      </c>
      <c r="M6" s="1">
        <v>14.473808354260401</v>
      </c>
      <c r="N6" s="1">
        <v>1.893</v>
      </c>
      <c r="O6" s="1">
        <v>1.8979999999999999</v>
      </c>
      <c r="P6" s="1">
        <v>1.9</v>
      </c>
      <c r="Q6" s="1">
        <v>241.49544876550257</v>
      </c>
      <c r="R6" s="1">
        <v>241.22611504615787</v>
      </c>
      <c r="S6" s="1">
        <v>162.27641373724217</v>
      </c>
      <c r="T6" s="1">
        <v>18.499028975327292</v>
      </c>
      <c r="U6" s="1">
        <v>27.637772293232867</v>
      </c>
      <c r="V6" s="1">
        <v>0.9827347993850708</v>
      </c>
      <c r="W6" s="1">
        <v>4.1665643621818925E-2</v>
      </c>
      <c r="X6" s="1">
        <v>4064978.9643024709</v>
      </c>
      <c r="Y6" s="1">
        <v>4228451.1765793357</v>
      </c>
      <c r="Z6" s="1">
        <v>2.452706235</v>
      </c>
      <c r="AA6" s="1">
        <v>132.44613669</v>
      </c>
      <c r="AB6" s="1">
        <v>2.5563417099999999</v>
      </c>
      <c r="AC6" s="1">
        <v>138.04245233999998</v>
      </c>
      <c r="AD6" s="1">
        <v>2.3214346340000001</v>
      </c>
      <c r="AE6" s="1">
        <v>125.357470236</v>
      </c>
      <c r="AF6" s="1">
        <v>6.8</v>
      </c>
      <c r="AG6" s="1">
        <v>0</v>
      </c>
      <c r="AH6" s="1">
        <v>93.2</v>
      </c>
      <c r="AI6" s="1">
        <v>2.75</v>
      </c>
      <c r="AJ6" s="1">
        <v>3.74</v>
      </c>
      <c r="AK6" s="1">
        <v>0</v>
      </c>
      <c r="AL6" s="1">
        <v>96.26</v>
      </c>
      <c r="AM6" s="1">
        <v>2.76</v>
      </c>
      <c r="AN6" s="1">
        <v>4.63</v>
      </c>
      <c r="AO6" s="1">
        <v>0</v>
      </c>
      <c r="AP6" s="1">
        <v>95.37</v>
      </c>
      <c r="AQ6" s="1">
        <v>2.77</v>
      </c>
    </row>
    <row r="7" spans="1:43" x14ac:dyDescent="0.35">
      <c r="A7" t="s">
        <v>88</v>
      </c>
      <c r="B7" s="1" t="s">
        <v>6</v>
      </c>
      <c r="C7" s="1" t="str">
        <f>_xlfn.XLOOKUP(A7,'[1]Results Filtered'!$H:$H,'[1]Results Filtered'!$A:$A)</f>
        <v>Whole mAb</v>
      </c>
      <c r="D7" s="1" t="str">
        <f>_xlfn.XLOOKUP(A7,'[1]Results Filtered'!$H:$H,'[1]Results Filtered'!$B:$B)</f>
        <v>G1</v>
      </c>
      <c r="E7" s="1" t="str">
        <f>_xlfn.XLOOKUP(A7,'[1]Results Filtered'!$H:$H,'[1]Results Filtered'!$C:$C)</f>
        <v>Lambda</v>
      </c>
      <c r="F7" s="1" t="str">
        <f>_xlfn.XLOOKUP(A7,'[1]Results Filtered'!$H:$H,'[1]Results Filtered'!$D:$D)</f>
        <v>TNFSF13B/CD257/BAFF</v>
      </c>
      <c r="G7" s="1"/>
      <c r="H7" s="1" t="str">
        <f>_xlfn.XLOOKUP(A7,'[1]Results Filtered'!$H:$H,'[1]Results Filtered'!$F:$F)</f>
        <v>Approved</v>
      </c>
      <c r="I7" s="1" t="str">
        <f>_xlfn.XLOOKUP(A7,'[1]Results Filtered'!$H:$H,'[1]Results Filtered'!$G:$G)</f>
        <v>Assistance Publique Hopitaux de Paris;Cancer Trials Australia;GlaxoSmithKline;Hospital for Special Surgery;Human Genome Sciences;North Shore-Long Island Jewish Health System;University of Alabama at Birmingham;University of Pennsylvania;University of Wisconsin-Madison;Washington University School of Medicine;Cambridge Antibody Technology</v>
      </c>
      <c r="J7" s="1" t="s">
        <v>114</v>
      </c>
      <c r="K7" s="1" t="s">
        <v>115</v>
      </c>
      <c r="L7" s="5" t="s">
        <v>126</v>
      </c>
      <c r="M7" s="1">
        <v>14.473808354260401</v>
      </c>
      <c r="N7" s="1">
        <v>1.8939999999999999</v>
      </c>
      <c r="O7" s="1">
        <v>1.9</v>
      </c>
      <c r="P7" s="1">
        <v>1.89</v>
      </c>
      <c r="Q7" s="1">
        <v>292.06297916511636</v>
      </c>
      <c r="R7" s="1">
        <v>279.72933879040522</v>
      </c>
      <c r="S7" s="1">
        <v>180.41457666137191</v>
      </c>
      <c r="T7" s="1">
        <v>24.584738393211108</v>
      </c>
      <c r="U7" s="1">
        <v>2.7164533883901205</v>
      </c>
      <c r="V7" s="1">
        <v>0.50399714708328247</v>
      </c>
      <c r="W7" s="1">
        <v>0.12728093614896299</v>
      </c>
      <c r="X7" s="1">
        <v>6608450.4189274013</v>
      </c>
      <c r="Y7" s="1">
        <v>2170462.4402323049</v>
      </c>
      <c r="Z7" s="1">
        <v>2.5148875199999998</v>
      </c>
      <c r="AA7" s="1">
        <v>135.80392608</v>
      </c>
      <c r="AB7" s="1">
        <v>2.5148875199999998</v>
      </c>
      <c r="AC7" s="1">
        <v>135.80392608</v>
      </c>
      <c r="AD7" s="1">
        <v>2.3283436659999999</v>
      </c>
      <c r="AE7" s="1">
        <v>125.730557964</v>
      </c>
      <c r="AF7" s="1">
        <v>5.77</v>
      </c>
      <c r="AG7" s="1">
        <v>0</v>
      </c>
      <c r="AH7" s="1">
        <v>94.23</v>
      </c>
      <c r="AI7" s="1">
        <v>2.75</v>
      </c>
      <c r="AJ7" s="1">
        <v>5.72</v>
      </c>
      <c r="AK7" s="1">
        <v>0</v>
      </c>
      <c r="AL7" s="1">
        <v>94.28</v>
      </c>
      <c r="AM7" s="1">
        <v>2.76</v>
      </c>
      <c r="AN7" s="1">
        <v>4.0999999999999996</v>
      </c>
      <c r="AO7" s="1">
        <v>0</v>
      </c>
      <c r="AP7" s="1">
        <v>95.9</v>
      </c>
      <c r="AQ7" s="1">
        <v>2.76</v>
      </c>
    </row>
    <row r="8" spans="1:43" x14ac:dyDescent="0.35">
      <c r="A8" t="s">
        <v>89</v>
      </c>
      <c r="B8" s="1" t="s">
        <v>7</v>
      </c>
      <c r="C8" s="1" t="str">
        <f>_xlfn.XLOOKUP(A8,'[1]Results Filtered'!$H:$H,'[1]Results Filtered'!$A:$A)</f>
        <v>Whole mAb</v>
      </c>
      <c r="D8" s="1" t="str">
        <f>_xlfn.XLOOKUP(A8,'[1]Results Filtered'!$H:$H,'[1]Results Filtered'!$B:$B)</f>
        <v>G1</v>
      </c>
      <c r="E8" s="1" t="str">
        <f>_xlfn.XLOOKUP(A8,'[1]Results Filtered'!$H:$H,'[1]Results Filtered'!$C:$C)</f>
        <v>Kappa</v>
      </c>
      <c r="F8" s="1" t="str">
        <f>_xlfn.XLOOKUP(A8,'[1]Results Filtered'!$H:$H,'[1]Results Filtered'!$D:$D)</f>
        <v>IL17A</v>
      </c>
      <c r="G8" s="1"/>
      <c r="H8" s="1" t="str">
        <f>_xlfn.XLOOKUP(A8,'[1]Results Filtered'!$H:$H,'[1]Results Filtered'!$F:$F)</f>
        <v>Approved</v>
      </c>
      <c r="I8" s="1" t="str">
        <f>_xlfn.XLOOKUP(A8,'[1]Results Filtered'!$H:$H,'[1]Results Filtered'!$G:$G)</f>
        <v>UCB</v>
      </c>
      <c r="J8" s="1" t="str">
        <f>_xlfn.XLOOKUP(A8,'[2]Monoclonals Final'!$A:$A,'[2]Monoclonals Final'!$F:$F)</f>
        <v>https://patents.google.com/patent/US9034600B2/en?oq=US+9034600</v>
      </c>
      <c r="K8" s="1" t="str">
        <f>_xlfn.XLOOKUP(A8,'[2]Monoclonals Final'!$A:$A,'[2]Monoclonals Final'!$G:$G)</f>
        <v>“DNA encoding light chain of antibody CA028 496g3 (no signal sequence) (SEQ ID NO:13)”“DNA (including exons) encoding heavy chain of antibody CA028 496g3 without signal sequence (SEQ ID NO:17)” “Plasmids were co‑transfected into CHO cells using the Lipofectamine™ 2000 procedure according to manufacturers instructions (Invitrogen, catalogue No. 11668).”</v>
      </c>
      <c r="L8" s="5" t="s">
        <v>127</v>
      </c>
      <c r="M8" s="1">
        <v>15.455132264709365</v>
      </c>
      <c r="N8" s="1">
        <v>1.9830000000000001</v>
      </c>
      <c r="O8" s="1">
        <v>1.986</v>
      </c>
      <c r="P8" s="1">
        <v>1.99</v>
      </c>
      <c r="Q8" s="1">
        <v>406.24230110711693</v>
      </c>
      <c r="R8" s="1">
        <v>402.18814749061829</v>
      </c>
      <c r="S8" s="1">
        <v>211.12702797472687</v>
      </c>
      <c r="T8" s="1">
        <v>3.7925045326403506</v>
      </c>
      <c r="U8" s="1">
        <v>0.39136741332277492</v>
      </c>
      <c r="V8" s="1">
        <v>0.4956749478975932</v>
      </c>
      <c r="W8" s="1">
        <v>0.13177595741072967</v>
      </c>
      <c r="X8" s="1">
        <v>2257095.2634224072</v>
      </c>
      <c r="Y8" s="1">
        <v>246162.5511188964</v>
      </c>
      <c r="Z8" s="1">
        <v>2.6334294200000001</v>
      </c>
      <c r="AA8" s="1">
        <v>142.20518868000002</v>
      </c>
      <c r="AB8" s="1">
        <v>2.7175438729999999</v>
      </c>
      <c r="AC8" s="1">
        <v>146.747369142</v>
      </c>
      <c r="AD8" s="1">
        <v>2.361675033</v>
      </c>
      <c r="AE8" s="1">
        <v>127.530451782</v>
      </c>
      <c r="AF8" s="1">
        <v>1.55</v>
      </c>
      <c r="AG8" s="1">
        <v>0</v>
      </c>
      <c r="AH8" s="1">
        <v>98.45</v>
      </c>
      <c r="AI8" s="1">
        <v>2.4900000000000002</v>
      </c>
      <c r="AJ8" s="1">
        <v>1.58</v>
      </c>
      <c r="AK8" s="1">
        <v>0</v>
      </c>
      <c r="AL8" s="1">
        <v>98.42</v>
      </c>
      <c r="AM8" s="1">
        <v>2.48</v>
      </c>
      <c r="AN8" s="1">
        <v>2.84</v>
      </c>
      <c r="AO8" s="1">
        <v>0</v>
      </c>
      <c r="AP8" s="1">
        <v>97.16</v>
      </c>
      <c r="AQ8" s="1">
        <v>2.48</v>
      </c>
    </row>
    <row r="9" spans="1:43" x14ac:dyDescent="0.35">
      <c r="A9" t="s">
        <v>89</v>
      </c>
      <c r="B9" s="1" t="s">
        <v>8</v>
      </c>
      <c r="C9" s="1" t="str">
        <f>_xlfn.XLOOKUP(A9,'[1]Results Filtered'!$H:$H,'[1]Results Filtered'!$A:$A)</f>
        <v>Whole mAb</v>
      </c>
      <c r="D9" s="1" t="str">
        <f>_xlfn.XLOOKUP(A9,'[1]Results Filtered'!$H:$H,'[1]Results Filtered'!$B:$B)</f>
        <v>G1</v>
      </c>
      <c r="E9" s="1" t="str">
        <f>_xlfn.XLOOKUP(A9,'[1]Results Filtered'!$H:$H,'[1]Results Filtered'!$C:$C)</f>
        <v>Kappa</v>
      </c>
      <c r="F9" s="1" t="str">
        <f>_xlfn.XLOOKUP(A9,'[1]Results Filtered'!$H:$H,'[1]Results Filtered'!$D:$D)</f>
        <v>IL17A</v>
      </c>
      <c r="G9" s="1"/>
      <c r="H9" s="1" t="str">
        <f>_xlfn.XLOOKUP(A9,'[1]Results Filtered'!$H:$H,'[1]Results Filtered'!$F:$F)</f>
        <v>Approved</v>
      </c>
      <c r="I9" s="1" t="str">
        <f>_xlfn.XLOOKUP(A9,'[1]Results Filtered'!$H:$H,'[1]Results Filtered'!$G:$G)</f>
        <v>UCB</v>
      </c>
      <c r="J9" s="1" t="str">
        <f>_xlfn.XLOOKUP(A9,'[2]Monoclonals Final'!$A:$A,'[2]Monoclonals Final'!$F:$F)</f>
        <v>https://patents.google.com/patent/US9034600B2/en?oq=US+9034600</v>
      </c>
      <c r="K9" s="1" t="str">
        <f>_xlfn.XLOOKUP(A9,'[2]Monoclonals Final'!$A:$A,'[2]Monoclonals Final'!$G:$G)</f>
        <v>“DNA encoding light chain of antibody CA028 496g3 (no signal sequence) (SEQ ID NO:13)”“DNA (including exons) encoding heavy chain of antibody CA028 496g3 without signal sequence (SEQ ID NO:17)” “Plasmids were co‑transfected into CHO cells using the Lipofectamine™ 2000 procedure according to manufacturers instructions (Invitrogen, catalogue No. 11668).”</v>
      </c>
      <c r="L9" s="5" t="s">
        <v>127</v>
      </c>
      <c r="M9" s="1">
        <v>15.455132264709365</v>
      </c>
      <c r="N9" s="1">
        <v>1.984</v>
      </c>
      <c r="O9" s="1">
        <v>1.986</v>
      </c>
      <c r="P9" s="1">
        <v>1.99</v>
      </c>
      <c r="Q9" s="1">
        <v>406.96502719031866</v>
      </c>
      <c r="R9" s="1">
        <v>387.30083695199983</v>
      </c>
      <c r="S9" s="1">
        <v>243.60859644362455</v>
      </c>
      <c r="T9" s="1">
        <v>3.2174438668874927</v>
      </c>
      <c r="U9" s="1">
        <v>1.2021900982011242</v>
      </c>
      <c r="V9" s="1">
        <v>0.69630251328150428</v>
      </c>
      <c r="W9" s="1">
        <v>0.36554243624451049</v>
      </c>
      <c r="X9" s="1">
        <v>2046120.5459859259</v>
      </c>
      <c r="Y9" s="1">
        <v>509298.7374514137</v>
      </c>
      <c r="Z9" s="1">
        <v>2.6528404480000001</v>
      </c>
      <c r="AA9" s="1">
        <v>143.253384192</v>
      </c>
      <c r="AB9" s="1">
        <v>2.6204887349999999</v>
      </c>
      <c r="AC9" s="1">
        <v>141.50639168999999</v>
      </c>
      <c r="AD9" s="1">
        <v>2.432848801</v>
      </c>
      <c r="AE9" s="1">
        <v>131.373835254</v>
      </c>
      <c r="AF9" s="1">
        <v>3.24</v>
      </c>
      <c r="AG9" s="1">
        <v>0</v>
      </c>
      <c r="AH9" s="1">
        <v>96.76</v>
      </c>
      <c r="AI9" s="1">
        <v>2.4900000000000002</v>
      </c>
      <c r="AJ9" s="1">
        <v>2.94</v>
      </c>
      <c r="AK9" s="1">
        <v>0</v>
      </c>
      <c r="AL9" s="1">
        <v>97.06</v>
      </c>
      <c r="AM9" s="1">
        <v>2.48</v>
      </c>
      <c r="AN9" s="1">
        <v>2.8</v>
      </c>
      <c r="AO9" s="1">
        <v>0</v>
      </c>
      <c r="AP9" s="1">
        <v>97.2</v>
      </c>
      <c r="AQ9" s="1">
        <v>2.48</v>
      </c>
    </row>
    <row r="10" spans="1:43" x14ac:dyDescent="0.35">
      <c r="A10" t="s">
        <v>90</v>
      </c>
      <c r="B10" s="1" t="s">
        <v>9</v>
      </c>
      <c r="C10" s="1" t="str">
        <f>_xlfn.XLOOKUP(A10,'[1]Results Filtered'!$H:$H,'[1]Results Filtered'!$A:$A)</f>
        <v>Whole mAb ADC</v>
      </c>
      <c r="D10" s="1" t="str">
        <f>_xlfn.XLOOKUP(A10,'[1]Results Filtered'!$H:$H,'[1]Results Filtered'!$B:$B)</f>
        <v>G1</v>
      </c>
      <c r="E10" s="1" t="str">
        <f>_xlfn.XLOOKUP(A10,'[1]Results Filtered'!$H:$H,'[1]Results Filtered'!$C:$C)</f>
        <v>Kappa</v>
      </c>
      <c r="F10" s="1" t="str">
        <f>_xlfn.XLOOKUP(A10,'[1]Results Filtered'!$H:$H,'[1]Results Filtered'!$D:$D)</f>
        <v>TNFRSF8/CD30</v>
      </c>
      <c r="G10" s="1"/>
      <c r="H10" s="1" t="str">
        <f>_xlfn.XLOOKUP(A10,'[1]Results Filtered'!$H:$H,'[1]Results Filtered'!$F:$F)</f>
        <v>Approved</v>
      </c>
      <c r="I10" s="1" t="str">
        <f>_xlfn.XLOOKUP(A10,'[1]Results Filtered'!$H:$H,'[1]Results Filtered'!$G:$G)</f>
        <v>Bristol-Myers Squibb;Celgene Corporation;Dana-Farber Cancer Institute;Fondazione Italiana Linfomi;Fox Chase Cancer Center;Immune Tolerance Network;Lymphoma Academic Research Organisation;Massachusetts General Hospital;National Cancer Institute (USA);National Institute of Allergy and Infectious Diseases;Seattle Genetics;Stanford University;Takeda;Takeda Oncology;UNC Lineberger Comprehensive Cancer Center;Washington University School of Medicine</v>
      </c>
      <c r="J10" s="1" t="str">
        <f>_xlfn.XLOOKUP(A10,'[2]Monoclonals Final'!$A:$A,'[2]Monoclonals Final'!$F:$F)</f>
        <v>https://patents.google.com/patent/US10864277B2/en?oq=US+10864277</v>
      </c>
      <c r="K10" s="1" t="str">
        <f>_xlfn.XLOOKUP(A10,'[2]Monoclonals Final'!$A:$A,'[2]Monoclonals Final'!$G:$G)</f>
        <v>“SEQ ID NO 27: 1401 bp DNA, artificial sequence, nucleotide sequence of mAb Ac10 Heavy Chain; full coding region provided.”“SEQ ID NO 29: 714 bp DNA, artificial sequence, nucleotide sequence of mAb Ac10 Light Chain; full coding region provided.”“Sequences…are designed for recombinant expression…compatible with standard mammalian or bacterial expression systems.”“These constructs allow…expression in mammalian cells, like but not limited to CHO cells, typically used for recombinant antibody expression.”</v>
      </c>
      <c r="L10" s="5" t="s">
        <v>128</v>
      </c>
      <c r="M10" s="1">
        <v>15.543321380247205</v>
      </c>
      <c r="N10" s="1">
        <v>1.883</v>
      </c>
      <c r="O10" s="1">
        <v>1.883</v>
      </c>
      <c r="P10" s="1">
        <v>1.885</v>
      </c>
      <c r="Q10" s="1">
        <v>256.24198660106055</v>
      </c>
      <c r="R10" s="1">
        <v>257.43725384266281</v>
      </c>
      <c r="S10" s="1">
        <v>168.57282385335478</v>
      </c>
      <c r="T10" s="1">
        <v>3.0834694797476914</v>
      </c>
      <c r="U10" s="1">
        <v>0.96572025680802853</v>
      </c>
      <c r="V10" s="1">
        <v>0.67301029960314429</v>
      </c>
      <c r="W10" s="1">
        <v>0.2875022656503925</v>
      </c>
      <c r="X10" s="1">
        <v>2044963.2592961397</v>
      </c>
      <c r="Y10" s="1">
        <v>120178.26303020658</v>
      </c>
      <c r="Z10" s="1">
        <v>2.0716293010000002</v>
      </c>
      <c r="AA10" s="1">
        <v>111.86798225400001</v>
      </c>
      <c r="AB10" s="1">
        <v>2.02016025</v>
      </c>
      <c r="AC10" s="1">
        <v>109.08865349999999</v>
      </c>
      <c r="AD10" s="1">
        <v>1.9043548850000001</v>
      </c>
      <c r="AE10" s="1">
        <v>102.83516379</v>
      </c>
      <c r="AF10" s="1">
        <v>1.59</v>
      </c>
      <c r="AG10" s="1">
        <v>0</v>
      </c>
      <c r="AH10" s="1">
        <v>98.41</v>
      </c>
      <c r="AI10" s="1">
        <v>2.41</v>
      </c>
      <c r="AJ10" s="1">
        <v>1.34</v>
      </c>
      <c r="AK10" s="1">
        <v>0</v>
      </c>
      <c r="AL10" s="1">
        <v>98.66</v>
      </c>
      <c r="AM10" s="1">
        <v>2.4</v>
      </c>
      <c r="AN10" s="1">
        <v>1.26</v>
      </c>
      <c r="AO10" s="1">
        <v>0.03</v>
      </c>
      <c r="AP10" s="1">
        <v>98.71</v>
      </c>
      <c r="AQ10" s="1">
        <v>2.4</v>
      </c>
    </row>
    <row r="11" spans="1:43" x14ac:dyDescent="0.35">
      <c r="A11" t="s">
        <v>90</v>
      </c>
      <c r="B11" s="1" t="s">
        <v>10</v>
      </c>
      <c r="C11" s="1" t="str">
        <f>_xlfn.XLOOKUP(A11,'[1]Results Filtered'!$H:$H,'[1]Results Filtered'!$A:$A)</f>
        <v>Whole mAb ADC</v>
      </c>
      <c r="D11" s="1" t="str">
        <f>_xlfn.XLOOKUP(A11,'[1]Results Filtered'!$H:$H,'[1]Results Filtered'!$B:$B)</f>
        <v>G1</v>
      </c>
      <c r="E11" s="1" t="str">
        <f>_xlfn.XLOOKUP(A11,'[1]Results Filtered'!$H:$H,'[1]Results Filtered'!$C:$C)</f>
        <v>Kappa</v>
      </c>
      <c r="F11" s="1" t="str">
        <f>_xlfn.XLOOKUP(A11,'[1]Results Filtered'!$H:$H,'[1]Results Filtered'!$D:$D)</f>
        <v>TNFRSF8/CD30</v>
      </c>
      <c r="G11" s="1"/>
      <c r="H11" s="1" t="str">
        <f>_xlfn.XLOOKUP(A11,'[1]Results Filtered'!$H:$H,'[1]Results Filtered'!$F:$F)</f>
        <v>Approved</v>
      </c>
      <c r="I11" s="1" t="str">
        <f>_xlfn.XLOOKUP(A11,'[1]Results Filtered'!$H:$H,'[1]Results Filtered'!$G:$G)</f>
        <v>Bristol-Myers Squibb;Celgene Corporation;Dana-Farber Cancer Institute;Fondazione Italiana Linfomi;Fox Chase Cancer Center;Immune Tolerance Network;Lymphoma Academic Research Organisation;Massachusetts General Hospital;National Cancer Institute (USA);National Institute of Allergy and Infectious Diseases;Seattle Genetics;Stanford University;Takeda;Takeda Oncology;UNC Lineberger Comprehensive Cancer Center;Washington University School of Medicine</v>
      </c>
      <c r="J11" s="1" t="str">
        <f>_xlfn.XLOOKUP(A11,'[2]Monoclonals Final'!$A:$A,'[2]Monoclonals Final'!$F:$F)</f>
        <v>https://patents.google.com/patent/US10864277B2/en?oq=US+10864277</v>
      </c>
      <c r="K11" s="1" t="str">
        <f>_xlfn.XLOOKUP(A11,'[2]Monoclonals Final'!$A:$A,'[2]Monoclonals Final'!$G:$G)</f>
        <v>“SEQ ID NO 27: 1401 bp DNA, artificial sequence, nucleotide sequence of mAb Ac10 Heavy Chain; full coding region provided.”“SEQ ID NO 29: 714 bp DNA, artificial sequence, nucleotide sequence of mAb Ac10 Light Chain; full coding region provided.”“Sequences…are designed for recombinant expression…compatible with standard mammalian or bacterial expression systems.”“These constructs allow…expression in mammalian cells, like but not limited to CHO cells, typically used for recombinant antibody expression.”</v>
      </c>
      <c r="L11" s="5" t="s">
        <v>128</v>
      </c>
      <c r="M11" s="1">
        <v>15.543321380247205</v>
      </c>
      <c r="N11" s="1">
        <v>1.8819999999999999</v>
      </c>
      <c r="O11" s="1">
        <v>1.8839999999999999</v>
      </c>
      <c r="P11" s="1">
        <v>1.8859999999999999</v>
      </c>
      <c r="Q11" s="1">
        <v>207.38450165651932</v>
      </c>
      <c r="R11" s="1">
        <v>208.79065941315494</v>
      </c>
      <c r="S11" s="1">
        <v>129.49158275747541</v>
      </c>
      <c r="T11" s="1">
        <v>3.6158213460405855</v>
      </c>
      <c r="U11" s="1">
        <v>1.2932873648454697</v>
      </c>
      <c r="V11" s="1">
        <v>0.52944931387901306</v>
      </c>
      <c r="W11" s="1">
        <v>0.39254532386182306</v>
      </c>
      <c r="X11" s="1">
        <v>2492321.0403644764</v>
      </c>
      <c r="Y11" s="1">
        <v>525239.85967983911</v>
      </c>
      <c r="Z11" s="1">
        <v>2.0780629319999999</v>
      </c>
      <c r="AA11" s="1">
        <v>112.21539832799999</v>
      </c>
      <c r="AB11" s="1">
        <v>2.0844965630000001</v>
      </c>
      <c r="AC11" s="1">
        <v>112.562814402</v>
      </c>
      <c r="AD11" s="1">
        <v>1.8914876220000001</v>
      </c>
      <c r="AE11" s="1">
        <v>102.14033158800001</v>
      </c>
      <c r="AF11" s="1">
        <v>1.19</v>
      </c>
      <c r="AG11" s="1">
        <v>0</v>
      </c>
      <c r="AH11" s="1">
        <v>98.81</v>
      </c>
      <c r="AI11" s="1">
        <v>2.41</v>
      </c>
      <c r="AJ11" s="1">
        <v>1</v>
      </c>
      <c r="AK11" s="1">
        <v>0</v>
      </c>
      <c r="AL11" s="1">
        <v>99</v>
      </c>
      <c r="AM11" s="1">
        <v>2.4</v>
      </c>
      <c r="AN11" s="1">
        <v>1.08</v>
      </c>
      <c r="AO11" s="1">
        <v>0.01</v>
      </c>
      <c r="AP11" s="1">
        <v>98.91</v>
      </c>
      <c r="AQ11" s="1">
        <v>2.4</v>
      </c>
    </row>
    <row r="12" spans="1:43" x14ac:dyDescent="0.35">
      <c r="A12" t="s">
        <v>91</v>
      </c>
      <c r="B12" s="1" t="s">
        <v>11</v>
      </c>
      <c r="C12" s="1" t="str">
        <f>_xlfn.XLOOKUP(A12,'[1]Results Filtered'!$H:$H,'[1]Results Filtered'!$A:$A)</f>
        <v>Whole mAb</v>
      </c>
      <c r="D12" s="1" t="str">
        <f>_xlfn.XLOOKUP(A12,'[1]Results Filtered'!$H:$H,'[1]Results Filtered'!$B:$B)</f>
        <v>G1</v>
      </c>
      <c r="E12" s="1" t="str">
        <f>_xlfn.XLOOKUP(A12,'[1]Results Filtered'!$H:$H,'[1]Results Filtered'!$C:$C)</f>
        <v>Kappa</v>
      </c>
      <c r="F12" s="1" t="str">
        <f>_xlfn.XLOOKUP(A12,'[1]Results Filtered'!$H:$H,'[1]Results Filtered'!$D:$D)</f>
        <v>FGF23</v>
      </c>
      <c r="G12" s="1"/>
      <c r="H12" s="1" t="str">
        <f>_xlfn.XLOOKUP(A12,'[1]Results Filtered'!$H:$H,'[1]Results Filtered'!$F:$F)</f>
        <v>Approved</v>
      </c>
      <c r="I12" s="1" t="str">
        <f>_xlfn.XLOOKUP(A12,'[1]Results Filtered'!$H:$H,'[1]Results Filtered'!$G:$G)</f>
        <v xml:space="preserve">Kyowa Hakko Kirin;Ultragenyx Pharmaceutical </v>
      </c>
      <c r="J12" s="1" t="str">
        <f>_xlfn.XLOOKUP(A12,'[2]Monoclonals Final'!$A:$A,'[2]Monoclonals Final'!$F:$F)</f>
        <v>https://patents.google.com/patent/US9290569B2/en?oq=US+9290569</v>
      </c>
      <c r="K12" s="1" t="str">
        <f>_xlfn.XLOOKUP(A12,'[2]Monoclonals Final'!$A:$A,'[2]Monoclonals Final'!$G:$G)</f>
        <v>“FIG. 2 shows the nucleotide sequence (SEQ ID NO:30) and amino acid sequence (SEQ ID NO:31) of the antibody heavy chain gene in N5KG1 C10 LH. The amino acid sequence surrounded by a rectangular line represents the secretion signal sequence (leader sequence).”“FIG. 3 shows the nucleotide sequence (SEQ ID NO:32) and amino acid sequence (SEQ ID NO:33) of the antibody light chain gene in N5KG1 C10 LH. The amino acid sequence surrounded by a rectangular line represents the secretion signal sequence (leader sequence).”“C10 antibody expressing cells were produced by introducing the constructed C10 antibody expression vector to host cells. A strain of dihydrofolate reductase (DHFR) deletion mutant CHO DG44 cells … was used as host cells for expression.”“The gene was introduced … to 4×10⁶ CHO cells by electroporation … The selected CHO cell lines were cultured … The culture supernatant was absorbed to a Mabselect Protein A column.”</v>
      </c>
      <c r="L12" s="5" t="s">
        <v>129</v>
      </c>
      <c r="M12" s="1">
        <v>12.632718761807588</v>
      </c>
      <c r="N12" s="1">
        <v>1.88</v>
      </c>
      <c r="O12" s="1">
        <v>1.88</v>
      </c>
      <c r="P12" s="1">
        <v>1.881</v>
      </c>
      <c r="Q12" s="1">
        <v>189.78917340405721</v>
      </c>
      <c r="R12" s="1">
        <v>199.01319723435859</v>
      </c>
      <c r="S12" s="1">
        <v>135.12913284536941</v>
      </c>
      <c r="T12" s="1">
        <v>3.9603921623646938</v>
      </c>
      <c r="U12" s="1">
        <v>0.59154634316232435</v>
      </c>
      <c r="V12" s="1">
        <v>0.42805255452791852</v>
      </c>
      <c r="W12" s="1">
        <v>0.17209202488785127</v>
      </c>
      <c r="X12" s="1">
        <v>2398508.5328159179</v>
      </c>
      <c r="Y12" s="1">
        <v>480244.47344756831</v>
      </c>
      <c r="Z12" s="1">
        <v>2.343121901</v>
      </c>
      <c r="AA12" s="1">
        <v>126.52858265399999</v>
      </c>
      <c r="AB12" s="1">
        <v>2.3352059490000001</v>
      </c>
      <c r="AC12" s="1">
        <v>126.10112124600001</v>
      </c>
      <c r="AD12" s="1">
        <v>2.1056433299999999</v>
      </c>
      <c r="AE12" s="1">
        <v>113.70473982</v>
      </c>
      <c r="AF12" s="1">
        <v>1.44</v>
      </c>
      <c r="AG12" s="1">
        <v>0</v>
      </c>
      <c r="AH12" s="1">
        <v>98.56</v>
      </c>
      <c r="AI12" s="1">
        <v>2.4700000000000002</v>
      </c>
      <c r="AJ12" s="1">
        <v>1.03</v>
      </c>
      <c r="AK12" s="1">
        <v>0.02</v>
      </c>
      <c r="AL12" s="1">
        <v>98.94</v>
      </c>
      <c r="AM12" s="1">
        <v>2.46</v>
      </c>
      <c r="AN12" s="1">
        <v>1.05</v>
      </c>
      <c r="AO12" s="1">
        <v>0</v>
      </c>
      <c r="AP12" s="1">
        <v>98.94</v>
      </c>
      <c r="AQ12" s="1">
        <v>2.46</v>
      </c>
    </row>
    <row r="13" spans="1:43" x14ac:dyDescent="0.35">
      <c r="A13" t="s">
        <v>91</v>
      </c>
      <c r="B13" s="1" t="s">
        <v>12</v>
      </c>
      <c r="C13" s="1" t="str">
        <f>_xlfn.XLOOKUP(A13,'[1]Results Filtered'!$H:$H,'[1]Results Filtered'!$A:$A)</f>
        <v>Whole mAb</v>
      </c>
      <c r="D13" s="1" t="str">
        <f>_xlfn.XLOOKUP(A13,'[1]Results Filtered'!$H:$H,'[1]Results Filtered'!$B:$B)</f>
        <v>G1</v>
      </c>
      <c r="E13" s="1" t="str">
        <f>_xlfn.XLOOKUP(A13,'[1]Results Filtered'!$H:$H,'[1]Results Filtered'!$C:$C)</f>
        <v>Kappa</v>
      </c>
      <c r="F13" s="1" t="str">
        <f>_xlfn.XLOOKUP(A13,'[1]Results Filtered'!$H:$H,'[1]Results Filtered'!$D:$D)</f>
        <v>FGF23</v>
      </c>
      <c r="G13" s="1"/>
      <c r="H13" s="1" t="str">
        <f>_xlfn.XLOOKUP(A13,'[1]Results Filtered'!$H:$H,'[1]Results Filtered'!$F:$F)</f>
        <v>Approved</v>
      </c>
      <c r="I13" s="1" t="str">
        <f>_xlfn.XLOOKUP(A13,'[1]Results Filtered'!$H:$H,'[1]Results Filtered'!$G:$G)</f>
        <v xml:space="preserve">Kyowa Hakko Kirin;Ultragenyx Pharmaceutical </v>
      </c>
      <c r="J13" s="1" t="str">
        <f>_xlfn.XLOOKUP(A13,'[2]Monoclonals Final'!$A:$A,'[2]Monoclonals Final'!$F:$F)</f>
        <v>https://patents.google.com/patent/US9290569B2/en?oq=US+9290569</v>
      </c>
      <c r="K13" s="1" t="str">
        <f>_xlfn.XLOOKUP(A13,'[2]Monoclonals Final'!$A:$A,'[2]Monoclonals Final'!$G:$G)</f>
        <v>“FIG. 2 shows the nucleotide sequence (SEQ ID NO:30) and amino acid sequence (SEQ ID NO:31) of the antibody heavy chain gene in N5KG1 C10 LH. The amino acid sequence surrounded by a rectangular line represents the secretion signal sequence (leader sequence).”“FIG. 3 shows the nucleotide sequence (SEQ ID NO:32) and amino acid sequence (SEQ ID NO:33) of the antibody light chain gene in N5KG1 C10 LH. The amino acid sequence surrounded by a rectangular line represents the secretion signal sequence (leader sequence).”“C10 antibody expressing cells were produced by introducing the constructed C10 antibody expression vector to host cells. A strain of dihydrofolate reductase (DHFR) deletion mutant CHO DG44 cells … was used as host cells for expression.”“The gene was introduced … to 4×10⁶ CHO cells by electroporation … The selected CHO cell lines were cultured … The culture supernatant was absorbed to a Mabselect Protein A column.”</v>
      </c>
      <c r="L13" s="5" t="s">
        <v>129</v>
      </c>
      <c r="M13" s="1">
        <v>12.632718761807588</v>
      </c>
      <c r="N13" s="1">
        <v>1.881</v>
      </c>
      <c r="O13" s="1">
        <v>1.879</v>
      </c>
      <c r="P13" s="1">
        <v>1.88</v>
      </c>
      <c r="Q13" s="1">
        <v>159.96242195661409</v>
      </c>
      <c r="R13" s="1">
        <v>165.25105207651984</v>
      </c>
      <c r="S13" s="1">
        <v>115.37609853180291</v>
      </c>
      <c r="T13" s="1">
        <v>3.3503126939393724</v>
      </c>
      <c r="U13" s="1">
        <v>0.86766476397814885</v>
      </c>
      <c r="V13" s="1">
        <v>0.63903198639551795</v>
      </c>
      <c r="W13" s="1">
        <v>0.28126139073911521</v>
      </c>
      <c r="X13" s="1">
        <v>2229873.2367413496</v>
      </c>
      <c r="Y13" s="1">
        <v>400652.44591559947</v>
      </c>
      <c r="Z13" s="1">
        <v>2.287710234</v>
      </c>
      <c r="AA13" s="1">
        <v>123.536352636</v>
      </c>
      <c r="AB13" s="1">
        <v>2.366869758</v>
      </c>
      <c r="AC13" s="1">
        <v>127.810966932</v>
      </c>
      <c r="AD13" s="1">
        <v>2.0423157110000001</v>
      </c>
      <c r="AE13" s="1">
        <v>110.285048394</v>
      </c>
      <c r="AF13" s="1">
        <v>0.7</v>
      </c>
      <c r="AG13" s="1">
        <v>0</v>
      </c>
      <c r="AH13" s="1">
        <v>99.3</v>
      </c>
      <c r="AI13" s="1">
        <v>2.4700000000000002</v>
      </c>
      <c r="AJ13" s="1">
        <v>0.67</v>
      </c>
      <c r="AK13" s="1">
        <v>0</v>
      </c>
      <c r="AL13" s="1">
        <v>99.33</v>
      </c>
      <c r="AM13" s="1">
        <v>2.46</v>
      </c>
      <c r="AN13" s="1">
        <v>1.44</v>
      </c>
      <c r="AO13" s="1">
        <v>0</v>
      </c>
      <c r="AP13" s="1">
        <v>98.56</v>
      </c>
      <c r="AQ13" s="1">
        <v>2.46</v>
      </c>
    </row>
    <row r="14" spans="1:43" x14ac:dyDescent="0.35">
      <c r="A14" t="s">
        <v>92</v>
      </c>
      <c r="B14" s="1" t="s">
        <v>13</v>
      </c>
      <c r="C14" s="1" t="str">
        <f>_xlfn.XLOOKUP(A14,'[1]Results Filtered'!$H:$H,'[1]Results Filtered'!$A:$A)</f>
        <v>Whole mAb</v>
      </c>
      <c r="D14" s="1" t="str">
        <f>_xlfn.XLOOKUP(A14,'[1]Results Filtered'!$H:$H,'[1]Results Filtered'!$B:$B)</f>
        <v>G1</v>
      </c>
      <c r="E14" s="1" t="str">
        <f>_xlfn.XLOOKUP(A14,'[1]Results Filtered'!$H:$H,'[1]Results Filtered'!$C:$C)</f>
        <v>Kappa</v>
      </c>
      <c r="F14" s="1" t="str">
        <f>_xlfn.XLOOKUP(A14,'[1]Results Filtered'!$H:$H,'[1]Results Filtered'!$D:$D)</f>
        <v>IL1B</v>
      </c>
      <c r="G14" s="1"/>
      <c r="H14" s="1" t="str">
        <f>_xlfn.XLOOKUP(A14,'[1]Results Filtered'!$H:$H,'[1]Results Filtered'!$F:$F)</f>
        <v>Approved</v>
      </c>
      <c r="I14" s="1" t="str">
        <f>_xlfn.XLOOKUP(A14,'[1]Results Filtered'!$H:$H,'[1]Results Filtered'!$G:$G)</f>
        <v>Charite - Universitatsmedizin Berlin;Novartis;Triemli hospital;University Hospital Tubingen;University Hospital Zurich</v>
      </c>
      <c r="J14" s="1" t="str">
        <f>_xlfn.XLOOKUP(A14,'[2]Monoclonals Final'!$A:$A,'[2]Monoclonals Final'!$F:$F)</f>
        <v>https://patents.google.com/patent/WO2018229612A1/en?oq=+WO2018229612</v>
      </c>
      <c r="K14" s="1" t="str">
        <f>_xlfn.XLOOKUP(A14,'[2]Monoclonals Final'!$A:$A,'[2]Monoclonals Final'!$G:$G)</f>
        <v>“SEQ ID NO:30 (DNA Heavy Chain, mAb2): Full-length nucleotide sequence encoding mAb2 heavy chain; includes variable region (VH), constant regions, and leader sequence; used for recombinant antibody expression.”“SEQ ID NO:40 (DNA Light Chain, mAb2): Full-length nucleotide sequence encoding mAb2 light chain; includes variable region (VL), constant regions, and leader sequence; used for recombinant antibody expression.”“As will be shown below, embodiments of the invention enable manufacturing of bbmAb by the use of a CHO co-expression…”</v>
      </c>
      <c r="L14" s="5" t="s">
        <v>130</v>
      </c>
      <c r="M14" s="1">
        <v>13.736960772550979</v>
      </c>
      <c r="N14" s="1">
        <v>1.89</v>
      </c>
      <c r="O14" s="1">
        <v>1.893</v>
      </c>
      <c r="P14" s="1">
        <v>1.893</v>
      </c>
      <c r="Q14" s="1">
        <v>21.222192052287365</v>
      </c>
      <c r="R14" s="1">
        <v>22.045666244350421</v>
      </c>
      <c r="S14" s="1">
        <v>14.932619572539572</v>
      </c>
      <c r="T14" s="1">
        <v>7.65762186993868</v>
      </c>
      <c r="U14" s="1">
        <v>2.634440865408461</v>
      </c>
      <c r="V14" s="1">
        <v>0.61642548441886902</v>
      </c>
      <c r="W14" s="1">
        <v>0.13698867945635207</v>
      </c>
      <c r="X14" s="1">
        <v>3985451.6168045332</v>
      </c>
      <c r="Y14" s="1">
        <v>510363.85205547075</v>
      </c>
      <c r="Z14" s="1">
        <v>0.61876860099999997</v>
      </c>
      <c r="AA14" s="1">
        <v>33.413504453999998</v>
      </c>
      <c r="AB14" s="1">
        <v>0.62604823200000004</v>
      </c>
      <c r="AC14" s="1">
        <v>33.806604528000001</v>
      </c>
      <c r="AD14" s="1">
        <v>0.53869266400000004</v>
      </c>
      <c r="AE14" s="1">
        <v>29.089403856000004</v>
      </c>
      <c r="AF14" s="1">
        <v>2.75</v>
      </c>
      <c r="AG14" s="1">
        <v>0</v>
      </c>
      <c r="AH14" s="1">
        <v>97.25</v>
      </c>
      <c r="AI14" s="1">
        <v>2.5099999999999998</v>
      </c>
      <c r="AJ14" s="1">
        <v>0.31</v>
      </c>
      <c r="AK14" s="1">
        <v>0</v>
      </c>
      <c r="AL14" s="1">
        <v>99.69</v>
      </c>
      <c r="AM14" s="1">
        <v>2.5</v>
      </c>
      <c r="AN14" s="1">
        <v>0.41</v>
      </c>
      <c r="AO14" s="1">
        <v>0.01</v>
      </c>
      <c r="AP14" s="1">
        <v>99.58</v>
      </c>
      <c r="AQ14" s="1">
        <v>2.5</v>
      </c>
    </row>
    <row r="15" spans="1:43" x14ac:dyDescent="0.35">
      <c r="A15" t="s">
        <v>92</v>
      </c>
      <c r="B15" s="1" t="s">
        <v>14</v>
      </c>
      <c r="C15" s="1" t="str">
        <f>_xlfn.XLOOKUP(A15,'[1]Results Filtered'!$H:$H,'[1]Results Filtered'!$A:$A)</f>
        <v>Whole mAb</v>
      </c>
      <c r="D15" s="1" t="str">
        <f>_xlfn.XLOOKUP(A15,'[1]Results Filtered'!$H:$H,'[1]Results Filtered'!$B:$B)</f>
        <v>G1</v>
      </c>
      <c r="E15" s="1" t="str">
        <f>_xlfn.XLOOKUP(A15,'[1]Results Filtered'!$H:$H,'[1]Results Filtered'!$C:$C)</f>
        <v>Kappa</v>
      </c>
      <c r="F15" s="1" t="str">
        <f>_xlfn.XLOOKUP(A15,'[1]Results Filtered'!$H:$H,'[1]Results Filtered'!$D:$D)</f>
        <v>IL1B</v>
      </c>
      <c r="G15" s="1"/>
      <c r="H15" s="1" t="str">
        <f>_xlfn.XLOOKUP(A15,'[1]Results Filtered'!$H:$H,'[1]Results Filtered'!$F:$F)</f>
        <v>Approved</v>
      </c>
      <c r="I15" s="1" t="str">
        <f>_xlfn.XLOOKUP(A15,'[1]Results Filtered'!$H:$H,'[1]Results Filtered'!$G:$G)</f>
        <v>Charite - Universitatsmedizin Berlin;Novartis;Triemli hospital;University Hospital Tubingen;University Hospital Zurich</v>
      </c>
      <c r="J15" s="1" t="str">
        <f>_xlfn.XLOOKUP(A15,'[2]Monoclonals Final'!$A:$A,'[2]Monoclonals Final'!$F:$F)</f>
        <v>https://patents.google.com/patent/WO2018229612A1/en?oq=+WO2018229612</v>
      </c>
      <c r="K15" s="1" t="str">
        <f>_xlfn.XLOOKUP(A15,'[2]Monoclonals Final'!$A:$A,'[2]Monoclonals Final'!$G:$G)</f>
        <v>“SEQ ID NO:30 (DNA Heavy Chain, mAb2): Full-length nucleotide sequence encoding mAb2 heavy chain; includes variable region (VH), constant regions, and leader sequence; used for recombinant antibody expression.”“SEQ ID NO:40 (DNA Light Chain, mAb2): Full-length nucleotide sequence encoding mAb2 light chain; includes variable region (VL), constant regions, and leader sequence; used for recombinant antibody expression.”“As will be shown below, embodiments of the invention enable manufacturing of bbmAb by the use of a CHO co-expression…”</v>
      </c>
      <c r="L15" s="5" t="s">
        <v>130</v>
      </c>
      <c r="M15" s="1">
        <v>13.736960772550979</v>
      </c>
      <c r="N15" s="1">
        <v>1.89</v>
      </c>
      <c r="O15" s="1">
        <v>1.8939999999999999</v>
      </c>
      <c r="P15" s="1">
        <v>1.893</v>
      </c>
      <c r="Q15" s="1">
        <v>32.640184015295198</v>
      </c>
      <c r="R15" s="1">
        <v>35.008324007938221</v>
      </c>
      <c r="S15" s="1">
        <v>23.244626664459183</v>
      </c>
      <c r="T15" s="1">
        <v>5.4138191707409078</v>
      </c>
      <c r="U15" s="1">
        <v>1.8170184917989467</v>
      </c>
      <c r="V15" s="1">
        <v>0.51422453920046485</v>
      </c>
      <c r="W15" s="1">
        <v>0.1738835476780107</v>
      </c>
      <c r="X15" s="1">
        <v>3127828.4291937947</v>
      </c>
      <c r="Y15" s="1">
        <v>1039488.425121522</v>
      </c>
      <c r="Z15" s="1">
        <v>0.93907234699999997</v>
      </c>
      <c r="AA15" s="1">
        <v>50.709906738000001</v>
      </c>
      <c r="AB15" s="1">
        <v>1.0045890230000001</v>
      </c>
      <c r="AC15" s="1">
        <v>54.247807242000007</v>
      </c>
      <c r="AD15" s="1">
        <v>0.80803899700000004</v>
      </c>
      <c r="AE15" s="1">
        <v>43.634105838000004</v>
      </c>
      <c r="AF15" s="1">
        <v>0.76</v>
      </c>
      <c r="AG15" s="1">
        <v>0</v>
      </c>
      <c r="AH15" s="1">
        <v>99.24</v>
      </c>
      <c r="AI15" s="1">
        <v>2.5099999999999998</v>
      </c>
      <c r="AJ15" s="1">
        <v>0.43</v>
      </c>
      <c r="AK15" s="1">
        <v>0</v>
      </c>
      <c r="AL15" s="1">
        <v>99.57</v>
      </c>
      <c r="AM15" s="1">
        <v>2.5</v>
      </c>
      <c r="AN15" s="1">
        <v>0.37</v>
      </c>
      <c r="AO15" s="1">
        <v>0.01</v>
      </c>
      <c r="AP15" s="1">
        <v>99.62</v>
      </c>
      <c r="AQ15" s="1">
        <v>2.5</v>
      </c>
    </row>
    <row r="16" spans="1:43" x14ac:dyDescent="0.35">
      <c r="A16" t="s">
        <v>93</v>
      </c>
      <c r="B16" s="1" t="s">
        <v>15</v>
      </c>
      <c r="C16" s="1" t="str">
        <f>_xlfn.XLOOKUP(A16,'[1]Results Filtered'!$H:$H,'[1]Results Filtered'!$A:$A)</f>
        <v>Whole mAb</v>
      </c>
      <c r="D16" s="1" t="str">
        <f>_xlfn.XLOOKUP(A16,'[1]Results Filtered'!$H:$H,'[1]Results Filtered'!$B:$B)</f>
        <v>G4</v>
      </c>
      <c r="E16" s="1" t="str">
        <f>_xlfn.XLOOKUP(A16,'[1]Results Filtered'!$H:$H,'[1]Results Filtered'!$C:$C)</f>
        <v>Kappa</v>
      </c>
      <c r="F16" s="1" t="str">
        <f>_xlfn.XLOOKUP(A16,'[1]Results Filtered'!$H:$H,'[1]Results Filtered'!$D:$D)</f>
        <v>TFPI</v>
      </c>
      <c r="G16" s="1"/>
      <c r="H16" s="1" t="str">
        <f>_xlfn.XLOOKUP(A16,'[1]Results Filtered'!$H:$H,'[1]Results Filtered'!$F:$F)</f>
        <v>Approved</v>
      </c>
      <c r="I16" s="1" t="str">
        <f>_xlfn.XLOOKUP(A16,'[1]Results Filtered'!$H:$H,'[1]Results Filtered'!$G:$G)</f>
        <v>Novo Nordisk</v>
      </c>
      <c r="J16" s="1" t="str">
        <f>_xlfn.XLOOKUP(A16,'[2]Monoclonals Final'!$A:$A,'[2]Monoclonals Final'!$F:$F)</f>
        <v>https://patents.google.com/patent/US9795674B2/en?oq=US+9795674</v>
      </c>
      <c r="K16" s="1" t="str">
        <f>_xlfn.XLOOKUP(A16,'[2]Monoclonals Final'!$A:$A,'[2]Monoclonals Final'!$G:$G)</f>
        <v>“SEQ ID NOs: 7–9 provide the sense polynucleotide, anti-sense polynucleotide and polypeptide sequences, respectively, for the light chain (LC) of the humanized monoclonal antibody, HZTFPI4F36 (mAbTFP12021).”“SEQ ID NOs: 10–12 provide the sense polynucleotide, anti-sense polynucleotide and polypeptide sequences, respectively, for the heavy chain (HC) of the humanized monoclonal antibody, HZTFPI4F36 (mAbTFP12021). Signal peptide sequences are omitted.”“The monoclonal antibodies to be used in accordance with the present invention may be made by the hybridoma method… or may be made by recombinant DNA methods…”</v>
      </c>
      <c r="L16" s="5" t="s">
        <v>131</v>
      </c>
      <c r="M16" s="1">
        <v>12.898682496003087</v>
      </c>
      <c r="N16" s="1">
        <v>1.9019999999999999</v>
      </c>
      <c r="O16" s="1">
        <v>1.903</v>
      </c>
      <c r="P16" s="1">
        <v>1.905</v>
      </c>
      <c r="Q16" s="1">
        <v>155.83554674715714</v>
      </c>
      <c r="R16" s="1">
        <v>151.88990464887911</v>
      </c>
      <c r="S16" s="1">
        <v>96.280266103342768</v>
      </c>
      <c r="T16" s="1">
        <v>4.3246965268176991</v>
      </c>
      <c r="U16" s="1">
        <v>1.1756679163307264</v>
      </c>
      <c r="V16" s="1">
        <v>0.62489843368530273</v>
      </c>
      <c r="W16" s="1">
        <v>0.24871541400919375</v>
      </c>
      <c r="X16" s="1">
        <v>2199449.2085311236</v>
      </c>
      <c r="Y16" s="1">
        <v>585409.28615344828</v>
      </c>
      <c r="Z16" s="1">
        <v>2.0699788529999998</v>
      </c>
      <c r="AA16" s="1">
        <v>111.778858062</v>
      </c>
      <c r="AB16" s="1">
        <v>2.1242479620000001</v>
      </c>
      <c r="AC16" s="1">
        <v>114.70938994800001</v>
      </c>
      <c r="AD16" s="1">
        <v>1.82964423</v>
      </c>
      <c r="AE16" s="1">
        <v>98.800788420000003</v>
      </c>
      <c r="AF16" s="1">
        <v>28.55</v>
      </c>
      <c r="AG16" s="1">
        <v>0</v>
      </c>
      <c r="AH16" s="1">
        <v>71.45</v>
      </c>
      <c r="AI16" s="1">
        <v>2.46</v>
      </c>
      <c r="AJ16" s="1">
        <v>26.31</v>
      </c>
      <c r="AK16" s="1">
        <v>0</v>
      </c>
      <c r="AL16" s="1">
        <v>73.69</v>
      </c>
      <c r="AM16" s="1">
        <v>2.4500000000000002</v>
      </c>
      <c r="AN16" s="1">
        <v>24.86</v>
      </c>
      <c r="AO16" s="1">
        <v>0</v>
      </c>
      <c r="AP16" s="1">
        <v>75.14</v>
      </c>
      <c r="AQ16" s="1">
        <v>2.4500000000000002</v>
      </c>
    </row>
    <row r="17" spans="1:43" x14ac:dyDescent="0.35">
      <c r="A17" t="s">
        <v>93</v>
      </c>
      <c r="B17" s="1" t="s">
        <v>16</v>
      </c>
      <c r="C17" s="1" t="str">
        <f>_xlfn.XLOOKUP(A17,'[1]Results Filtered'!$H:$H,'[1]Results Filtered'!$A:$A)</f>
        <v>Whole mAb</v>
      </c>
      <c r="D17" s="1" t="str">
        <f>_xlfn.XLOOKUP(A17,'[1]Results Filtered'!$H:$H,'[1]Results Filtered'!$B:$B)</f>
        <v>G4</v>
      </c>
      <c r="E17" s="1" t="str">
        <f>_xlfn.XLOOKUP(A17,'[1]Results Filtered'!$H:$H,'[1]Results Filtered'!$C:$C)</f>
        <v>Kappa</v>
      </c>
      <c r="F17" s="1" t="str">
        <f>_xlfn.XLOOKUP(A17,'[1]Results Filtered'!$H:$H,'[1]Results Filtered'!$D:$D)</f>
        <v>TFPI</v>
      </c>
      <c r="G17" s="1"/>
      <c r="H17" s="1" t="str">
        <f>_xlfn.XLOOKUP(A17,'[1]Results Filtered'!$H:$H,'[1]Results Filtered'!$F:$F)</f>
        <v>Approved</v>
      </c>
      <c r="I17" s="1" t="str">
        <f>_xlfn.XLOOKUP(A17,'[1]Results Filtered'!$H:$H,'[1]Results Filtered'!$G:$G)</f>
        <v>Novo Nordisk</v>
      </c>
      <c r="J17" s="1" t="str">
        <f>_xlfn.XLOOKUP(A17,'[2]Monoclonals Final'!$A:$A,'[2]Monoclonals Final'!$F:$F)</f>
        <v>https://patents.google.com/patent/US9795674B2/en?oq=US+9795674</v>
      </c>
      <c r="K17" s="1" t="str">
        <f>_xlfn.XLOOKUP(A17,'[2]Monoclonals Final'!$A:$A,'[2]Monoclonals Final'!$G:$G)</f>
        <v>“SEQ ID NOs: 7–9 provide the sense polynucleotide, anti-sense polynucleotide and polypeptide sequences, respectively, for the light chain (LC) of the humanized monoclonal antibody, HZTFPI4F36 (mAbTFP12021).”“SEQ ID NOs: 10–12 provide the sense polynucleotide, anti-sense polynucleotide and polypeptide sequences, respectively, for the heavy chain (HC) of the humanized monoclonal antibody, HZTFPI4F36 (mAbTFP12021). Signal peptide sequences are omitted.”“The monoclonal antibodies to be used in accordance with the present invention may be made by the hybridoma method… or may be made by recombinant DNA methods…”</v>
      </c>
      <c r="L17" s="5" t="s">
        <v>131</v>
      </c>
      <c r="M17" s="1">
        <v>12.898682496003087</v>
      </c>
      <c r="N17" s="1">
        <v>1.903</v>
      </c>
      <c r="O17" s="1">
        <v>1.905</v>
      </c>
      <c r="P17" s="1">
        <v>1.9059999999999999</v>
      </c>
      <c r="Q17" s="1">
        <v>103.96627321370416</v>
      </c>
      <c r="R17" s="1">
        <v>104.65616240531109</v>
      </c>
      <c r="S17" s="1">
        <v>62.51476187344597</v>
      </c>
      <c r="T17" s="1">
        <v>5.007698256065396</v>
      </c>
      <c r="U17" s="1">
        <v>0.36694933863967577</v>
      </c>
      <c r="V17" s="1">
        <v>0.38294461369514465</v>
      </c>
      <c r="W17" s="1">
        <v>7.3579186841604846E-2</v>
      </c>
      <c r="X17" s="1">
        <v>2744456.0875400244</v>
      </c>
      <c r="Y17" s="1">
        <v>234218.68189133223</v>
      </c>
      <c r="Z17" s="1">
        <v>1.8218915</v>
      </c>
      <c r="AA17" s="1">
        <v>98.382141000000004</v>
      </c>
      <c r="AB17" s="1">
        <v>1.7831278509999999</v>
      </c>
      <c r="AC17" s="1">
        <v>96.288903953999991</v>
      </c>
      <c r="AD17" s="1">
        <v>1.4652659299999999</v>
      </c>
      <c r="AE17" s="1">
        <v>79.12436022</v>
      </c>
      <c r="AF17" s="1">
        <v>27.44</v>
      </c>
      <c r="AG17" s="1">
        <v>0.01</v>
      </c>
      <c r="AH17" s="1">
        <v>72.55</v>
      </c>
      <c r="AI17" s="1">
        <v>2.46</v>
      </c>
      <c r="AJ17" s="1">
        <v>26.08</v>
      </c>
      <c r="AK17" s="1">
        <v>0.01</v>
      </c>
      <c r="AL17" s="1">
        <v>73.91</v>
      </c>
      <c r="AM17" s="1">
        <v>2.4500000000000002</v>
      </c>
      <c r="AN17" s="1">
        <v>17.03</v>
      </c>
      <c r="AO17" s="1">
        <v>0</v>
      </c>
      <c r="AP17" s="1">
        <v>82.97</v>
      </c>
      <c r="AQ17" s="1">
        <v>2.4500000000000002</v>
      </c>
    </row>
    <row r="18" spans="1:43" x14ac:dyDescent="0.35">
      <c r="A18" t="s">
        <v>94</v>
      </c>
      <c r="B18" s="1" t="s">
        <v>17</v>
      </c>
      <c r="C18" s="1" t="str">
        <f>_xlfn.XLOOKUP(A18,'[1]Results Filtered'!$H:$H,'[1]Results Filtered'!$A:$A)</f>
        <v>Whole mAb</v>
      </c>
      <c r="D18" s="1" t="str">
        <f>_xlfn.XLOOKUP(A18,'[1]Results Filtered'!$H:$H,'[1]Results Filtered'!$B:$B)</f>
        <v>G1</v>
      </c>
      <c r="E18" s="1" t="str">
        <f>_xlfn.XLOOKUP(A18,'[1]Results Filtered'!$H:$H,'[1]Results Filtered'!$C:$C)</f>
        <v>Kappa</v>
      </c>
      <c r="F18" s="1" t="str">
        <f>_xlfn.XLOOKUP(A18,'[1]Results Filtered'!$H:$H,'[1]Results Filtered'!$D:$D)</f>
        <v>IL2RA/CD25</v>
      </c>
      <c r="G18" s="1"/>
      <c r="H18" s="1" t="str">
        <f>_xlfn.XLOOKUP(A18,'[1]Results Filtered'!$H:$H,'[1]Results Filtered'!$F:$F)</f>
        <v>Approved</v>
      </c>
      <c r="I18" s="1" t="str">
        <f>_xlfn.XLOOKUP(A18,'[1]Results Filtered'!$H:$H,'[1]Results Filtered'!$G:$G)</f>
        <v>AbbVie;Biogen;Dana-Farber Cancer Institute;National Cancer Institute (USA);PDL BioPharma</v>
      </c>
      <c r="J18" s="1" t="str">
        <f>_xlfn.XLOOKUP(A18,'[2]Monoclonals Final'!$A:$A,'[2]Monoclonals Final'!$F:$F)</f>
        <v>https://patents.google.com/patent/US9815903B2/en?oq=+US+9815903</v>
      </c>
      <c r="K18" s="1" t="str">
        <f>_xlfn.XLOOKUP(A18,'[2]Monoclonals Final'!$A:$A,'[2]Monoclonals Final'!$G:$G)</f>
        <v>“FIG. 1 provides DAC‑HYP light chain cDNA (SEQ ID NO: 1) and translated amino acid (SEQ ID NO: 2) sequences.”“FIG. 2 provides DAC‑HYP heavy chain cDNA (SEQ ID NO: 3) and translated amino acid sequences (SEQ ID NO: 4). The bold, underlined glutamine ( ) residue is the first amino acid in the properly processed mature protein; the amino acid sequence upstream of this residue corresponds to the signal sequence.”“Host cells useful for producing a daclizumab recombinantly include mammalian cells, for example, Chinese Hamster Ovary ( CHO ) cells, NSO murine myeloma cells, Sp2 / 0 cells, PER . C6 cells, Vero cells, BHK cells, HT1080 cells, COS7 cells, W138 cells, CV - 1 / EBNA cells, L cells, 3T3 cells, HEPG2 cells, MDCK cells and 293 cells.”</v>
      </c>
      <c r="L18" s="5" t="s">
        <v>132</v>
      </c>
      <c r="M18" s="1">
        <v>13.658551558187444</v>
      </c>
      <c r="N18" s="1">
        <v>1.8759999999999999</v>
      </c>
      <c r="O18" s="1">
        <v>1.8779999999999999</v>
      </c>
      <c r="P18" s="1">
        <v>1.8779999999999999</v>
      </c>
      <c r="Q18" s="1">
        <v>293.16280429537881</v>
      </c>
      <c r="R18" s="1">
        <v>274.24638815754946</v>
      </c>
      <c r="S18" s="1">
        <v>332.90440428246848</v>
      </c>
      <c r="T18" s="1">
        <v>4.6851629242894433</v>
      </c>
      <c r="U18" s="1">
        <v>1.9581448358979436</v>
      </c>
      <c r="V18" s="1">
        <v>0.65788895885149634</v>
      </c>
      <c r="W18" s="1">
        <v>0.19572534792330187</v>
      </c>
      <c r="X18" s="1">
        <v>2669719.6749212965</v>
      </c>
      <c r="Y18" s="1">
        <v>1054697.0325841964</v>
      </c>
      <c r="Z18" s="1">
        <v>2.3355331540000002</v>
      </c>
      <c r="AA18" s="1">
        <v>126.118790316</v>
      </c>
      <c r="AB18" s="1">
        <v>2.320890313</v>
      </c>
      <c r="AC18" s="1">
        <v>125.32807690200001</v>
      </c>
      <c r="AD18" s="1">
        <v>2.2696403690000002</v>
      </c>
      <c r="AE18" s="1">
        <v>122.56057992600002</v>
      </c>
      <c r="AF18" s="1">
        <v>2.46</v>
      </c>
      <c r="AG18" s="1">
        <v>0</v>
      </c>
      <c r="AH18" s="1">
        <v>97.54</v>
      </c>
      <c r="AI18" s="1">
        <v>2.44</v>
      </c>
      <c r="AJ18" s="1">
        <v>1.68</v>
      </c>
      <c r="AK18" s="1">
        <v>0</v>
      </c>
      <c r="AL18" s="1">
        <v>98.32</v>
      </c>
      <c r="AM18" s="1">
        <v>2.44</v>
      </c>
      <c r="AN18" s="1">
        <v>2.23</v>
      </c>
      <c r="AO18" s="1">
        <v>0</v>
      </c>
      <c r="AP18" s="1">
        <v>97.76</v>
      </c>
      <c r="AQ18" s="1">
        <v>2.44</v>
      </c>
    </row>
    <row r="19" spans="1:43" x14ac:dyDescent="0.35">
      <c r="A19" t="s">
        <v>94</v>
      </c>
      <c r="B19" s="1" t="s">
        <v>18</v>
      </c>
      <c r="C19" s="1" t="str">
        <f>_xlfn.XLOOKUP(A19,'[1]Results Filtered'!$H:$H,'[1]Results Filtered'!$A:$A)</f>
        <v>Whole mAb</v>
      </c>
      <c r="D19" s="1" t="str">
        <f>_xlfn.XLOOKUP(A19,'[1]Results Filtered'!$H:$H,'[1]Results Filtered'!$B:$B)</f>
        <v>G1</v>
      </c>
      <c r="E19" s="1" t="str">
        <f>_xlfn.XLOOKUP(A19,'[1]Results Filtered'!$H:$H,'[1]Results Filtered'!$C:$C)</f>
        <v>Kappa</v>
      </c>
      <c r="F19" s="1" t="str">
        <f>_xlfn.XLOOKUP(A19,'[1]Results Filtered'!$H:$H,'[1]Results Filtered'!$D:$D)</f>
        <v>IL2RA/CD25</v>
      </c>
      <c r="G19" s="1"/>
      <c r="H19" s="1" t="str">
        <f>_xlfn.XLOOKUP(A19,'[1]Results Filtered'!$H:$H,'[1]Results Filtered'!$F:$F)</f>
        <v>Approved</v>
      </c>
      <c r="I19" s="1" t="str">
        <f>_xlfn.XLOOKUP(A19,'[1]Results Filtered'!$H:$H,'[1]Results Filtered'!$G:$G)</f>
        <v>AbbVie;Biogen;Dana-Farber Cancer Institute;National Cancer Institute (USA);PDL BioPharma</v>
      </c>
      <c r="J19" s="1" t="str">
        <f>_xlfn.XLOOKUP(A19,'[2]Monoclonals Final'!$A:$A,'[2]Monoclonals Final'!$F:$F)</f>
        <v>https://patents.google.com/patent/US9815903B2/en?oq=+US+9815903</v>
      </c>
      <c r="K19" s="1" t="str">
        <f>_xlfn.XLOOKUP(A19,'[2]Monoclonals Final'!$A:$A,'[2]Monoclonals Final'!$G:$G)</f>
        <v>“FIG. 1 provides DAC‑HYP light chain cDNA (SEQ ID NO: 1) and translated amino acid (SEQ ID NO: 2) sequences.”“FIG. 2 provides DAC‑HYP heavy chain cDNA (SEQ ID NO: 3) and translated amino acid sequences (SEQ ID NO: 4). The bold, underlined glutamine ( ) residue is the first amino acid in the properly processed mature protein; the amino acid sequence upstream of this residue corresponds to the signal sequence.”“Host cells useful for producing a daclizumab recombinantly include mammalian cells, for example, Chinese Hamster Ovary ( CHO ) cells, NSO murine myeloma cells, Sp2 / 0 cells, PER . C6 cells, Vero cells, BHK cells, HT1080 cells, COS7 cells, W138 cells, CV - 1 / EBNA cells, L cells, 3T3 cells, HEPG2 cells, MDCK cells and 293 cells.”</v>
      </c>
      <c r="L19" s="5" t="s">
        <v>132</v>
      </c>
      <c r="M19" s="1">
        <v>13.658551558187444</v>
      </c>
      <c r="N19" s="1">
        <v>1.8779999999999999</v>
      </c>
      <c r="O19" s="1">
        <v>1.8779999999999999</v>
      </c>
      <c r="P19" s="1">
        <v>1.8779999999999999</v>
      </c>
      <c r="Q19" s="1">
        <v>200.33448881714367</v>
      </c>
      <c r="R19" s="1">
        <v>194.89382183128865</v>
      </c>
      <c r="S19" s="1">
        <v>254.78559599514176</v>
      </c>
      <c r="T19" s="1">
        <v>2.9383591115816898</v>
      </c>
      <c r="U19" s="1">
        <v>1.1749298237794756</v>
      </c>
      <c r="V19" s="1">
        <v>0.82240509986877441</v>
      </c>
      <c r="W19" s="1">
        <v>0.30224500299890555</v>
      </c>
      <c r="X19" s="1">
        <v>1628742.6762965571</v>
      </c>
      <c r="Y19" s="1">
        <v>571928.99528425222</v>
      </c>
      <c r="Z19" s="1">
        <v>2.386783098</v>
      </c>
      <c r="AA19" s="1">
        <v>128.88628729199999</v>
      </c>
      <c r="AB19" s="1">
        <v>2.2330332660000001</v>
      </c>
      <c r="AC19" s="1">
        <v>120.58379636400001</v>
      </c>
      <c r="AD19" s="1">
        <v>2.174461902</v>
      </c>
      <c r="AE19" s="1">
        <v>117.420942708</v>
      </c>
      <c r="AF19" s="1">
        <v>1.72</v>
      </c>
      <c r="AG19" s="1">
        <v>0</v>
      </c>
      <c r="AH19" s="1">
        <v>98.28</v>
      </c>
      <c r="AI19" s="1">
        <v>2.4500000000000002</v>
      </c>
      <c r="AJ19" s="1"/>
      <c r="AK19" s="1"/>
      <c r="AL19" s="1"/>
      <c r="AM19" s="1"/>
      <c r="AN19" s="1">
        <v>1.43</v>
      </c>
      <c r="AO19" s="1">
        <v>0</v>
      </c>
      <c r="AP19" s="1">
        <v>98.57</v>
      </c>
      <c r="AQ19" s="1">
        <v>2.44</v>
      </c>
    </row>
    <row r="20" spans="1:43" x14ac:dyDescent="0.35">
      <c r="A20" t="s">
        <v>95</v>
      </c>
      <c r="B20" s="1" t="s">
        <v>19</v>
      </c>
      <c r="C20" s="1" t="str">
        <f>_xlfn.XLOOKUP(A20,'[1]Results Filtered'!$H:$H,'[1]Results Filtered'!$A:$A)</f>
        <v>Whole mAb</v>
      </c>
      <c r="D20" s="1" t="str">
        <f>_xlfn.XLOOKUP(A20,'[1]Results Filtered'!$H:$H,'[1]Results Filtered'!$B:$B)</f>
        <v>G1</v>
      </c>
      <c r="E20" s="1" t="str">
        <f>_xlfn.XLOOKUP(A20,'[1]Results Filtered'!$H:$H,'[1]Results Filtered'!$C:$C)</f>
        <v>Kappa</v>
      </c>
      <c r="F20" s="1" t="str">
        <f>_xlfn.XLOOKUP(A20,'[1]Results Filtered'!$H:$H,'[1]Results Filtered'!$D:$D)</f>
        <v>APP</v>
      </c>
      <c r="G20" s="1"/>
      <c r="H20" s="1" t="str">
        <f>_xlfn.XLOOKUP(A20,'[1]Results Filtered'!$H:$H,'[1]Results Filtered'!$F:$F)</f>
        <v>Approved</v>
      </c>
      <c r="I20" s="1" t="str">
        <f>_xlfn.XLOOKUP(A20,'[1]Results Filtered'!$H:$H,'[1]Results Filtered'!$G:$G)</f>
        <v>Eli Lilly</v>
      </c>
      <c r="J20" s="1" t="str">
        <f>_xlfn.XLOOKUP(A20,'[2]Monoclonals Final'!$A:$A,'[2]Monoclonals Final'!$F:$F)</f>
        <v>https://patents.google.com/patent/US8961972B2/en?oq=US+8961972</v>
      </c>
      <c r="K20" s="1" t="str">
        <f>_xlfn.XLOOKUP(A20,'[2]Monoclonals Final'!$A:$A,'[2]Monoclonals Final'!$G:$G)</f>
        <v>“…an expression system for secreting antibodies using an optimal predetermined HCLC vector ratio or a single vector system encoding both HC, such as SEQ ID NO: 56, and LC, such as SEQ ID NO: 55.”“An appropriate host cell, such as HEK 293 EBNA or CHO, is either transiently or stably transfected with an expression system…”</v>
      </c>
      <c r="L20" s="5" t="s">
        <v>133</v>
      </c>
      <c r="M20" s="1">
        <v>14.114692475802258</v>
      </c>
      <c r="N20" s="1">
        <v>1.8939999999999999</v>
      </c>
      <c r="O20" s="1">
        <v>1.895</v>
      </c>
      <c r="P20" s="1">
        <v>1.8939999999999999</v>
      </c>
      <c r="Q20" s="1">
        <v>328.73900713952293</v>
      </c>
      <c r="R20" s="1">
        <v>260.19589084330789</v>
      </c>
      <c r="S20" s="1">
        <v>298.07667020022723</v>
      </c>
      <c r="T20" s="1">
        <v>14.316073215780989</v>
      </c>
      <c r="U20" s="1">
        <v>6.5652824561769787</v>
      </c>
      <c r="V20" s="1">
        <v>0.77586839596430457</v>
      </c>
      <c r="W20" s="1">
        <v>8.9221498824797782E-2</v>
      </c>
      <c r="X20" s="1">
        <v>5292776.324443643</v>
      </c>
      <c r="Y20" s="1">
        <v>2500366.7532328898</v>
      </c>
      <c r="Z20" s="1">
        <v>2.6001274959999998</v>
      </c>
      <c r="AA20" s="1">
        <v>140.406884784</v>
      </c>
      <c r="AB20" s="1">
        <v>2.3592437500000001</v>
      </c>
      <c r="AC20" s="1">
        <v>127.3991625</v>
      </c>
      <c r="AD20" s="1">
        <v>2.557618599</v>
      </c>
      <c r="AE20" s="1">
        <v>138.111404346</v>
      </c>
      <c r="AF20" s="1">
        <v>0.25</v>
      </c>
      <c r="AG20" s="1">
        <v>6.54</v>
      </c>
      <c r="AH20" s="1">
        <v>93.21</v>
      </c>
      <c r="AI20" s="1">
        <v>2.4700000000000002</v>
      </c>
      <c r="AJ20" s="1">
        <v>0.16</v>
      </c>
      <c r="AK20" s="1">
        <v>5.14</v>
      </c>
      <c r="AL20" s="1">
        <v>94.7</v>
      </c>
      <c r="AM20" s="1">
        <v>2.4700000000000002</v>
      </c>
      <c r="AN20" s="1">
        <v>0.81</v>
      </c>
      <c r="AO20" s="1">
        <v>3.06</v>
      </c>
      <c r="AP20" s="1">
        <v>96.13</v>
      </c>
      <c r="AQ20" s="1">
        <v>2.46</v>
      </c>
    </row>
    <row r="21" spans="1:43" x14ac:dyDescent="0.35">
      <c r="A21" t="s">
        <v>95</v>
      </c>
      <c r="B21" s="1" t="s">
        <v>20</v>
      </c>
      <c r="C21" s="1" t="str">
        <f>_xlfn.XLOOKUP(A21,'[1]Results Filtered'!$H:$H,'[1]Results Filtered'!$A:$A)</f>
        <v>Whole mAb</v>
      </c>
      <c r="D21" s="1" t="str">
        <f>_xlfn.XLOOKUP(A21,'[1]Results Filtered'!$H:$H,'[1]Results Filtered'!$B:$B)</f>
        <v>G1</v>
      </c>
      <c r="E21" s="1" t="str">
        <f>_xlfn.XLOOKUP(A21,'[1]Results Filtered'!$H:$H,'[1]Results Filtered'!$C:$C)</f>
        <v>Kappa</v>
      </c>
      <c r="F21" s="1" t="str">
        <f>_xlfn.XLOOKUP(A21,'[1]Results Filtered'!$H:$H,'[1]Results Filtered'!$D:$D)</f>
        <v>APP</v>
      </c>
      <c r="G21" s="1"/>
      <c r="H21" s="1" t="str">
        <f>_xlfn.XLOOKUP(A21,'[1]Results Filtered'!$H:$H,'[1]Results Filtered'!$F:$F)</f>
        <v>Approved</v>
      </c>
      <c r="I21" s="1" t="str">
        <f>_xlfn.XLOOKUP(A21,'[1]Results Filtered'!$H:$H,'[1]Results Filtered'!$G:$G)</f>
        <v>Eli Lilly</v>
      </c>
      <c r="J21" s="1" t="str">
        <f>_xlfn.XLOOKUP(A21,'[2]Monoclonals Final'!$A:$A,'[2]Monoclonals Final'!$F:$F)</f>
        <v>https://patents.google.com/patent/US8961972B2/en?oq=US+8961972</v>
      </c>
      <c r="K21" s="1" t="str">
        <f>_xlfn.XLOOKUP(A21,'[2]Monoclonals Final'!$A:$A,'[2]Monoclonals Final'!$G:$G)</f>
        <v>“…an expression system for secreting antibodies using an optimal predetermined HCLC vector ratio or a single vector system encoding both HC, such as SEQ ID NO: 56, and LC, such as SEQ ID NO: 55.”“An appropriate host cell, such as HEK 293 EBNA or CHO, is either transiently or stably transfected with an expression system…”</v>
      </c>
      <c r="L21" s="5" t="s">
        <v>133</v>
      </c>
      <c r="M21" s="1">
        <v>14.114692475802258</v>
      </c>
      <c r="N21" s="1">
        <v>1.891</v>
      </c>
      <c r="O21" s="1">
        <v>1.895</v>
      </c>
      <c r="P21" s="1">
        <v>1.893</v>
      </c>
      <c r="Q21" s="1">
        <v>221.24055478512739</v>
      </c>
      <c r="R21" s="1">
        <v>197.51127505808597</v>
      </c>
      <c r="S21" s="1">
        <v>239.06417133996604</v>
      </c>
      <c r="T21" s="1">
        <v>21.757365982940275</v>
      </c>
      <c r="U21" s="1">
        <v>10.644589336181852</v>
      </c>
      <c r="V21" s="1">
        <v>0.9011403123537699</v>
      </c>
      <c r="W21" s="1">
        <v>8.6080862017557727E-2</v>
      </c>
      <c r="X21" s="1">
        <v>11880799.080493262</v>
      </c>
      <c r="Y21" s="1">
        <v>9067820.814717181</v>
      </c>
      <c r="Z21" s="1">
        <v>1.9483244179999999</v>
      </c>
      <c r="AA21" s="1">
        <v>105.20951857199999</v>
      </c>
      <c r="AB21" s="1">
        <v>2.1183600029999998</v>
      </c>
      <c r="AC21" s="1">
        <v>114.39144016199999</v>
      </c>
      <c r="AD21" s="1">
        <v>2.7489086330000001</v>
      </c>
      <c r="AE21" s="1">
        <v>148.44106618200001</v>
      </c>
      <c r="AF21" s="1">
        <v>0.56999999999999995</v>
      </c>
      <c r="AG21" s="1">
        <v>0</v>
      </c>
      <c r="AH21" s="1">
        <v>99.43</v>
      </c>
      <c r="AI21" s="1">
        <v>2.46</v>
      </c>
      <c r="AJ21" s="1">
        <v>0.17</v>
      </c>
      <c r="AK21" s="1">
        <v>0</v>
      </c>
      <c r="AL21" s="1">
        <v>99.83</v>
      </c>
      <c r="AM21" s="1">
        <v>2.46</v>
      </c>
      <c r="AN21" s="1">
        <v>0.3</v>
      </c>
      <c r="AO21" s="1">
        <v>0</v>
      </c>
      <c r="AP21" s="1">
        <v>99.7</v>
      </c>
      <c r="AQ21" s="1">
        <v>2.46</v>
      </c>
    </row>
    <row r="22" spans="1:43" x14ac:dyDescent="0.35">
      <c r="A22" t="s">
        <v>96</v>
      </c>
      <c r="B22" s="1" t="s">
        <v>21</v>
      </c>
      <c r="C22" s="1" t="str">
        <f>_xlfn.XLOOKUP(A22,'[1]Results Filtered'!$H:$H,'[1]Results Filtered'!$A:$A)</f>
        <v>Whole mAb</v>
      </c>
      <c r="D22" s="1" t="str">
        <f>_xlfn.XLOOKUP(A22,'[1]Results Filtered'!$H:$H,'[1]Results Filtered'!$B:$B)</f>
        <v>G4</v>
      </c>
      <c r="E22" s="1" t="str">
        <f>_xlfn.XLOOKUP(A22,'[1]Results Filtered'!$H:$H,'[1]Results Filtered'!$C:$C)</f>
        <v>Kappa</v>
      </c>
      <c r="F22" s="1" t="str">
        <f>_xlfn.XLOOKUP(A22,'[1]Results Filtered'!$H:$H,'[1]Results Filtered'!$D:$D)</f>
        <v>PDCD1/CD279/PD1</v>
      </c>
      <c r="G22" s="1"/>
      <c r="H22" s="1" t="str">
        <f>_xlfn.XLOOKUP(A22,'[1]Results Filtered'!$H:$H,'[1]Results Filtered'!$F:$F)</f>
        <v>Approved</v>
      </c>
      <c r="I22" s="1" t="str">
        <f>_xlfn.XLOOKUP(A22,'[1]Results Filtered'!$H:$H,'[1]Results Filtered'!$G:$G)</f>
        <v>AnaptysBio;European Network of Gynaecological Oncological Trial Groups;GlaxoSmithKline;TESARO</v>
      </c>
      <c r="J22" s="1" t="s">
        <v>147</v>
      </c>
      <c r="K22" s="1" t="str">
        <f>_xlfn.XLOOKUP(A22,'[2]Monoclonals Final'!$A:$A,'[2]Monoclonals Final'!$G:$G)</f>
        <v>“Nucleic acid sequences encoding an inventive immunoglobulin heavy chain polypeptide include, for example, SEQ ID NO: 3.”“Nucleic acid sequences encoding an inventive immunoglobulin light chain polypeptides include, for example, SEQ ID NO: 4.”“This exemplary anti-PD‑1 antibody exhibits… glycan species from a preparation… cultured in Chinese Hamster Ovary (CHO) cells”“…a host cell that is capable of expressing the polypeptides… including any suitable prokaryotic or eukaryotic cell… Suitable eukaryotic cells include… mammalian cells… Chinese hamster ovary cells (CHO)… HEK293… 3T3… COS‑1… COS‑7.”</v>
      </c>
      <c r="L22" s="5" t="s">
        <v>134</v>
      </c>
      <c r="M22" s="1">
        <v>15.595529660654028</v>
      </c>
      <c r="N22" s="1">
        <v>1.9850000000000001</v>
      </c>
      <c r="O22" s="1">
        <v>1.9870000000000001</v>
      </c>
      <c r="P22" s="1">
        <v>1.9870000000000001</v>
      </c>
      <c r="Q22" s="1">
        <v>187.29228833572836</v>
      </c>
      <c r="R22" s="1">
        <v>186.4139205168091</v>
      </c>
      <c r="S22" s="1">
        <v>204.15343526975201</v>
      </c>
      <c r="T22" s="1">
        <v>4.7379796382548038</v>
      </c>
      <c r="U22" s="1">
        <v>1.231884656647225</v>
      </c>
      <c r="V22" s="1">
        <v>0.47095609704653424</v>
      </c>
      <c r="W22" s="1">
        <v>0.22312968196653518</v>
      </c>
      <c r="X22" s="1">
        <v>2425020.7144040023</v>
      </c>
      <c r="Y22" s="1">
        <v>353948.09106140299</v>
      </c>
      <c r="Z22" s="1">
        <v>2.3211779780000001</v>
      </c>
      <c r="AA22" s="1">
        <v>125.34361081200001</v>
      </c>
      <c r="AB22" s="1">
        <v>2.244232851</v>
      </c>
      <c r="AC22" s="1">
        <v>121.18857395400001</v>
      </c>
      <c r="AD22" s="1">
        <v>2.2698812269999999</v>
      </c>
      <c r="AE22" s="1">
        <v>122.57358625799999</v>
      </c>
      <c r="AF22" s="1">
        <v>24.52</v>
      </c>
      <c r="AG22" s="1">
        <v>0</v>
      </c>
      <c r="AH22" s="1">
        <v>75.48</v>
      </c>
      <c r="AI22" s="1">
        <v>2.5</v>
      </c>
      <c r="AJ22" s="1">
        <v>29.26</v>
      </c>
      <c r="AK22" s="1">
        <v>0</v>
      </c>
      <c r="AL22" s="1">
        <v>70.739999999999995</v>
      </c>
      <c r="AM22" s="1">
        <v>2.5</v>
      </c>
      <c r="AN22" s="1">
        <v>27.55</v>
      </c>
      <c r="AO22" s="1">
        <v>0</v>
      </c>
      <c r="AP22" s="1">
        <v>72.45</v>
      </c>
      <c r="AQ22" s="1">
        <v>2.5099999999999998</v>
      </c>
    </row>
    <row r="23" spans="1:43" x14ac:dyDescent="0.35">
      <c r="A23" t="s">
        <v>96</v>
      </c>
      <c r="B23" s="1" t="s">
        <v>22</v>
      </c>
      <c r="C23" s="1" t="str">
        <f>_xlfn.XLOOKUP(A23,'[1]Results Filtered'!$H:$H,'[1]Results Filtered'!$A:$A)</f>
        <v>Whole mAb</v>
      </c>
      <c r="D23" s="1" t="str">
        <f>_xlfn.XLOOKUP(A23,'[1]Results Filtered'!$H:$H,'[1]Results Filtered'!$B:$B)</f>
        <v>G4</v>
      </c>
      <c r="E23" s="1" t="str">
        <f>_xlfn.XLOOKUP(A23,'[1]Results Filtered'!$H:$H,'[1]Results Filtered'!$C:$C)</f>
        <v>Kappa</v>
      </c>
      <c r="F23" s="1" t="str">
        <f>_xlfn.XLOOKUP(A23,'[1]Results Filtered'!$H:$H,'[1]Results Filtered'!$D:$D)</f>
        <v>PDCD1/CD279/PD1</v>
      </c>
      <c r="G23" s="1"/>
      <c r="H23" s="1" t="str">
        <f>_xlfn.XLOOKUP(A23,'[1]Results Filtered'!$H:$H,'[1]Results Filtered'!$F:$F)</f>
        <v>Approved</v>
      </c>
      <c r="I23" s="1" t="str">
        <f>_xlfn.XLOOKUP(A23,'[1]Results Filtered'!$H:$H,'[1]Results Filtered'!$G:$G)</f>
        <v>AnaptysBio;European Network of Gynaecological Oncological Trial Groups;GlaxoSmithKline;TESARO</v>
      </c>
      <c r="J23" s="1" t="s">
        <v>147</v>
      </c>
      <c r="K23" s="1" t="str">
        <f>_xlfn.XLOOKUP(A23,'[2]Monoclonals Final'!$A:$A,'[2]Monoclonals Final'!$G:$G)</f>
        <v>“Nucleic acid sequences encoding an inventive immunoglobulin heavy chain polypeptide include, for example, SEQ ID NO: 3.”“Nucleic acid sequences encoding an inventive immunoglobulin light chain polypeptides include, for example, SEQ ID NO: 4.”“This exemplary anti-PD‑1 antibody exhibits… glycan species from a preparation… cultured in Chinese Hamster Ovary (CHO) cells”“…a host cell that is capable of expressing the polypeptides… including any suitable prokaryotic or eukaryotic cell… Suitable eukaryotic cells include… mammalian cells… Chinese hamster ovary cells (CHO)… HEK293… 3T3… COS‑1… COS‑7.”</v>
      </c>
      <c r="L23" s="5" t="s">
        <v>134</v>
      </c>
      <c r="M23" s="1">
        <v>15.595529660654028</v>
      </c>
      <c r="N23" s="1">
        <v>1.986</v>
      </c>
      <c r="O23" s="1">
        <v>1.9870000000000001</v>
      </c>
      <c r="P23" s="1">
        <v>1.9870000000000001</v>
      </c>
      <c r="Q23" s="1">
        <v>144.77260571901047</v>
      </c>
      <c r="R23" s="1">
        <v>147.62912645197068</v>
      </c>
      <c r="S23" s="1">
        <v>170.62031408501346</v>
      </c>
      <c r="T23" s="1">
        <v>4.806332221107823</v>
      </c>
      <c r="U23" s="1">
        <v>0.35430660704536582</v>
      </c>
      <c r="V23" s="1">
        <v>0.37050778667132062</v>
      </c>
      <c r="W23" s="1">
        <v>4.763952290747836E-2</v>
      </c>
      <c r="X23" s="1">
        <v>2563505.7936706524</v>
      </c>
      <c r="Y23" s="1">
        <v>239631.10285610199</v>
      </c>
      <c r="Z23" s="1">
        <v>2.2955296019999998</v>
      </c>
      <c r="AA23" s="1">
        <v>123.95859850799999</v>
      </c>
      <c r="AB23" s="1">
        <v>2.2249965700000001</v>
      </c>
      <c r="AC23" s="1">
        <v>120.14981478</v>
      </c>
      <c r="AD23" s="1">
        <v>2.2698812269999999</v>
      </c>
      <c r="AE23" s="1">
        <v>122.57358625799999</v>
      </c>
      <c r="AF23" s="1">
        <v>27.34</v>
      </c>
      <c r="AG23" s="1">
        <v>0.01</v>
      </c>
      <c r="AH23" s="1">
        <v>72.650000000000006</v>
      </c>
      <c r="AI23" s="1">
        <v>2.5</v>
      </c>
      <c r="AJ23" s="1">
        <v>28.61</v>
      </c>
      <c r="AK23" s="1">
        <v>0</v>
      </c>
      <c r="AL23" s="1">
        <v>71.39</v>
      </c>
      <c r="AM23" s="1">
        <v>2.5</v>
      </c>
      <c r="AN23" s="1">
        <v>23.68</v>
      </c>
      <c r="AO23" s="1">
        <v>0</v>
      </c>
      <c r="AP23" s="1">
        <v>76.319999999999993</v>
      </c>
      <c r="AQ23" s="1">
        <v>2.5099999999999998</v>
      </c>
    </row>
    <row r="24" spans="1:43" x14ac:dyDescent="0.35">
      <c r="A24" t="s">
        <v>97</v>
      </c>
      <c r="B24" s="1" t="s">
        <v>23</v>
      </c>
      <c r="C24" s="1" t="str">
        <f>_xlfn.XLOOKUP(A24,'[1]Results Filtered'!$H:$H,'[1]Results Filtered'!$A:$A)</f>
        <v>Whole mAb</v>
      </c>
      <c r="D24" s="1" t="str">
        <f>_xlfn.XLOOKUP(A24,'[1]Results Filtered'!$H:$H,'[1]Results Filtered'!$B:$B)</f>
        <v>G4</v>
      </c>
      <c r="E24" s="1" t="str">
        <f>_xlfn.XLOOKUP(A24,'[1]Results Filtered'!$H:$H,'[1]Results Filtered'!$C:$C)</f>
        <v>Kappa</v>
      </c>
      <c r="F24" s="1" t="str">
        <f>_xlfn.XLOOKUP(A24,'[1]Results Filtered'!$H:$H,'[1]Results Filtered'!$D:$D)</f>
        <v>PDCD1/CD279/PD1</v>
      </c>
      <c r="G24" s="1"/>
      <c r="H24" s="1" t="str">
        <f>_xlfn.XLOOKUP(A24,'[1]Results Filtered'!$H:$H,'[1]Results Filtered'!$F:$F)</f>
        <v>Approved</v>
      </c>
      <c r="I24" s="1" t="str">
        <f>_xlfn.XLOOKUP(A24,'[1]Results Filtered'!$H:$H,'[1]Results Filtered'!$G:$G)</f>
        <v>Hangzhou Sumgen Biotech;CSPC ZhongQi Pharmaceutical Technology;Hangzhou Sumgen Biotech</v>
      </c>
      <c r="J24" s="1" t="str">
        <f>_xlfn.XLOOKUP(A24,'[2]Monoclonals Final'!$A:$A,'[2]Monoclonals Final'!$F:$F)</f>
        <v>https://patents.google.com/patent/US10774144B2/en?oq=US+10774144</v>
      </c>
      <c r="K24" s="1" t="s">
        <v>116</v>
      </c>
      <c r="L24" s="5" t="s">
        <v>135</v>
      </c>
      <c r="M24" s="1">
        <v>14.585646388876539</v>
      </c>
      <c r="N24" s="1">
        <v>1.915</v>
      </c>
      <c r="O24" s="1">
        <v>1.917</v>
      </c>
      <c r="P24" s="1">
        <v>1.9159999999999999</v>
      </c>
      <c r="Q24" s="1">
        <v>196.85010862587194</v>
      </c>
      <c r="R24" s="1">
        <v>210.84991532127157</v>
      </c>
      <c r="S24" s="1">
        <v>232.23744030401605</v>
      </c>
      <c r="T24" s="1">
        <v>17.783480021904552</v>
      </c>
      <c r="U24" s="1">
        <v>14.984540091463193</v>
      </c>
      <c r="V24" s="1">
        <v>1.0113937060038249</v>
      </c>
      <c r="W24" s="1">
        <v>0.13562120966054245</v>
      </c>
      <c r="X24" s="1">
        <v>7411668.044621489</v>
      </c>
      <c r="Y24" s="1">
        <v>6600780.7165940898</v>
      </c>
      <c r="Z24" s="1">
        <v>2.4613238960000001</v>
      </c>
      <c r="AA24" s="1">
        <v>132.91149038400002</v>
      </c>
      <c r="AB24" s="1">
        <v>2.1459453470000001</v>
      </c>
      <c r="AC24" s="1">
        <v>115.881048738</v>
      </c>
      <c r="AD24" s="1">
        <v>2.0225363490000001</v>
      </c>
      <c r="AE24" s="1">
        <v>109.216962846</v>
      </c>
      <c r="AF24" s="1">
        <v>0.86</v>
      </c>
      <c r="AG24" s="1">
        <v>0</v>
      </c>
      <c r="AH24" s="1">
        <v>99.14</v>
      </c>
      <c r="AI24" s="1">
        <v>2.5099999999999998</v>
      </c>
      <c r="AJ24" s="1">
        <v>0.4</v>
      </c>
      <c r="AK24" s="1">
        <v>0</v>
      </c>
      <c r="AL24" s="1">
        <v>99.6</v>
      </c>
      <c r="AM24" s="1">
        <v>2.5099999999999998</v>
      </c>
      <c r="AN24" s="1">
        <v>1.34</v>
      </c>
      <c r="AO24" s="1">
        <v>0</v>
      </c>
      <c r="AP24" s="1">
        <v>98.66</v>
      </c>
      <c r="AQ24" s="1">
        <v>2.5099999999999998</v>
      </c>
    </row>
    <row r="25" spans="1:43" x14ac:dyDescent="0.35">
      <c r="A25" t="s">
        <v>97</v>
      </c>
      <c r="B25" s="1" t="s">
        <v>24</v>
      </c>
      <c r="C25" s="1" t="str">
        <f>_xlfn.XLOOKUP(A25,'[1]Results Filtered'!$H:$H,'[1]Results Filtered'!$A:$A)</f>
        <v>Whole mAb</v>
      </c>
      <c r="D25" s="1" t="str">
        <f>_xlfn.XLOOKUP(A25,'[1]Results Filtered'!$H:$H,'[1]Results Filtered'!$B:$B)</f>
        <v>G4</v>
      </c>
      <c r="E25" s="1" t="str">
        <f>_xlfn.XLOOKUP(A25,'[1]Results Filtered'!$H:$H,'[1]Results Filtered'!$C:$C)</f>
        <v>Kappa</v>
      </c>
      <c r="F25" s="1" t="str">
        <f>_xlfn.XLOOKUP(A25,'[1]Results Filtered'!$H:$H,'[1]Results Filtered'!$D:$D)</f>
        <v>PDCD1/CD279/PD1</v>
      </c>
      <c r="G25" s="1"/>
      <c r="H25" s="1" t="str">
        <f>_xlfn.XLOOKUP(A25,'[1]Results Filtered'!$H:$H,'[1]Results Filtered'!$F:$F)</f>
        <v>Approved</v>
      </c>
      <c r="I25" s="1" t="str">
        <f>_xlfn.XLOOKUP(A25,'[1]Results Filtered'!$H:$H,'[1]Results Filtered'!$G:$G)</f>
        <v>Hangzhou Sumgen Biotech;CSPC ZhongQi Pharmaceutical Technology;Hangzhou Sumgen Biotech</v>
      </c>
      <c r="J25" s="1" t="str">
        <f>_xlfn.XLOOKUP(A25,'[2]Monoclonals Final'!$A:$A,'[2]Monoclonals Final'!$F:$F)</f>
        <v>https://patents.google.com/patent/US10774144B2/en?oq=US+10774144</v>
      </c>
      <c r="K25" s="1" t="s">
        <v>116</v>
      </c>
      <c r="L25" s="5" t="s">
        <v>135</v>
      </c>
      <c r="M25" s="1">
        <v>14.585646388876539</v>
      </c>
      <c r="N25" s="1">
        <v>1.913</v>
      </c>
      <c r="O25" s="1">
        <v>1.915</v>
      </c>
      <c r="P25" s="1">
        <v>1.913</v>
      </c>
      <c r="Q25" s="1">
        <v>248.75690487754156</v>
      </c>
      <c r="R25" s="1">
        <v>259.24223251430016</v>
      </c>
      <c r="S25" s="1">
        <v>285.99593499547757</v>
      </c>
      <c r="T25" s="1">
        <v>9.1792022131424265</v>
      </c>
      <c r="U25" s="1">
        <v>5.6023730649237802</v>
      </c>
      <c r="V25" s="1">
        <v>0.86943185329437256</v>
      </c>
      <c r="W25" s="1">
        <v>0.16118113664885109</v>
      </c>
      <c r="X25" s="1">
        <v>3160114.7285456192</v>
      </c>
      <c r="Y25" s="1">
        <v>1382492.7621728228</v>
      </c>
      <c r="Z25" s="1">
        <v>2.5367405060000001</v>
      </c>
      <c r="AA25" s="1">
        <v>136.983987324</v>
      </c>
      <c r="AB25" s="1">
        <v>2.3927633419999998</v>
      </c>
      <c r="AC25" s="1">
        <v>129.20922046799998</v>
      </c>
      <c r="AD25" s="1">
        <v>2.5778768379999999</v>
      </c>
      <c r="AE25" s="1">
        <v>139.20534925199999</v>
      </c>
      <c r="AF25" s="1">
        <v>3.97</v>
      </c>
      <c r="AG25" s="1">
        <v>0</v>
      </c>
      <c r="AH25" s="1">
        <v>96.03</v>
      </c>
      <c r="AI25" s="1">
        <v>2.5099999999999998</v>
      </c>
      <c r="AJ25" s="1">
        <v>4.38</v>
      </c>
      <c r="AK25" s="1">
        <v>0</v>
      </c>
      <c r="AL25" s="1">
        <v>95.62</v>
      </c>
      <c r="AM25" s="1">
        <v>2.5099999999999998</v>
      </c>
      <c r="AN25" s="1">
        <v>3.62</v>
      </c>
      <c r="AO25" s="1">
        <v>0</v>
      </c>
      <c r="AP25" s="1">
        <v>96.38</v>
      </c>
      <c r="AQ25" s="1">
        <v>2.5099999999999998</v>
      </c>
    </row>
    <row r="26" spans="1:43" x14ac:dyDescent="0.35">
      <c r="A26" t="s">
        <v>98</v>
      </c>
      <c r="B26" s="1" t="s">
        <v>25</v>
      </c>
      <c r="C26" s="1" t="str">
        <f>_xlfn.XLOOKUP(A26,'[1]Results Filtered'!$H:$H,'[1]Results Filtered'!$A:$A)</f>
        <v>Whole mAb</v>
      </c>
      <c r="D26" s="1" t="str">
        <f>_xlfn.XLOOKUP(A26,'[1]Results Filtered'!$H:$H,'[1]Results Filtered'!$B:$B)</f>
        <v>G2</v>
      </c>
      <c r="E26" s="1" t="str">
        <f>_xlfn.XLOOKUP(A26,'[1]Results Filtered'!$H:$H,'[1]Results Filtered'!$C:$C)</f>
        <v>Kappa</v>
      </c>
      <c r="F26" s="1" t="str">
        <f>_xlfn.XLOOKUP(A26,'[1]Results Filtered'!$H:$H,'[1]Results Filtered'!$D:$D)</f>
        <v>CALCA and CALCB</v>
      </c>
      <c r="G26" s="1"/>
      <c r="H26" s="1" t="str">
        <f>_xlfn.XLOOKUP(A26,'[1]Results Filtered'!$H:$H,'[1]Results Filtered'!$F:$F)</f>
        <v>Approved</v>
      </c>
      <c r="I26" s="1" t="str">
        <f>_xlfn.XLOOKUP(A26,'[1]Results Filtered'!$H:$H,'[1]Results Filtered'!$G:$G)</f>
        <v>Rinat Neuroscience;Teva Pharmaceutical Industries</v>
      </c>
      <c r="J26" s="1" t="str">
        <f>_xlfn.XLOOKUP(A26,'[2]Monoclonals Final'!$A:$A,'[2]Monoclonals Final'!$F:$F)</f>
        <v>https://patents.google.com/patent/US9884907B2/en?oq=US+9884907</v>
      </c>
      <c r="K26" s="1" t="str">
        <f>_xlfn.XLOOKUP(A26,'[2]Monoclonals Final'!$A:$A,'[2]Monoclonals Final'!$G:$G)</f>
        <v>“The sequences are cloned into mammalian expression vectors pDb.CGRP.hFcGI (heavy chain) and pEb.CGRP.hKGI (light chain), suitable for transient or stable expression in mammalian cells.”“Host cells include mammalian cells such as CHO, COS, HeLa… for expression of the antibody.”“G1 heavy chain full antibody nucleotide sequence… synthetic… 1347 bp… encodes heavy chain variable region and human IgG2 constant region… deposited as pDb.CGRP.hFcGI, ATCC PTA‑6867”“G1 light chain full antibody nucleotide sequence… synthetic… 645 bp… encodes light chain variable region and human kappa constant region… deposited as pEb.CGRP.hKGI, ATCC PTA‑6866”</v>
      </c>
      <c r="L26" s="5" t="s">
        <v>136</v>
      </c>
      <c r="M26" s="1">
        <v>14.339211238414936</v>
      </c>
      <c r="N26" s="1">
        <v>2.0219999999999998</v>
      </c>
      <c r="O26" s="1">
        <v>2.0230000000000001</v>
      </c>
      <c r="P26" s="1">
        <v>2.0219999999999998</v>
      </c>
      <c r="Q26" s="1">
        <v>448.50361832885864</v>
      </c>
      <c r="R26" s="1">
        <v>398.13371694614074</v>
      </c>
      <c r="S26" s="1">
        <v>407.70152249088875</v>
      </c>
      <c r="T26" s="1">
        <v>8.5468746154523014</v>
      </c>
      <c r="U26" s="1">
        <v>0.64962734627613394</v>
      </c>
      <c r="V26" s="1">
        <v>0.55266644557317102</v>
      </c>
      <c r="W26" s="1">
        <v>4.408365569590833E-2</v>
      </c>
      <c r="X26" s="1">
        <v>4815911.6310595907</v>
      </c>
      <c r="Y26" s="1">
        <v>1117371.9316376119</v>
      </c>
      <c r="Z26" s="1">
        <v>2.6919193360000002</v>
      </c>
      <c r="AA26" s="1">
        <v>145.36364414400001</v>
      </c>
      <c r="AB26" s="1">
        <v>2.6082327250000001</v>
      </c>
      <c r="AC26" s="1">
        <v>140.84456715000002</v>
      </c>
      <c r="AD26" s="1">
        <v>2.4896766920000002</v>
      </c>
      <c r="AE26" s="1">
        <v>134.44254136800001</v>
      </c>
      <c r="AF26" s="1">
        <v>4.2</v>
      </c>
      <c r="AG26" s="1">
        <v>0</v>
      </c>
      <c r="AH26" s="1">
        <v>95.8</v>
      </c>
      <c r="AI26" s="1">
        <v>2.64</v>
      </c>
      <c r="AJ26" s="1">
        <v>5.2</v>
      </c>
      <c r="AK26" s="1">
        <v>0</v>
      </c>
      <c r="AL26" s="1">
        <v>94.8</v>
      </c>
      <c r="AM26" s="1">
        <v>2.64</v>
      </c>
      <c r="AN26" s="1">
        <v>7.59</v>
      </c>
      <c r="AO26" s="1">
        <v>0</v>
      </c>
      <c r="AP26" s="1">
        <v>92.41</v>
      </c>
      <c r="AQ26" s="1">
        <v>2.64</v>
      </c>
    </row>
    <row r="27" spans="1:43" x14ac:dyDescent="0.35">
      <c r="A27" t="s">
        <v>98</v>
      </c>
      <c r="B27" s="1" t="s">
        <v>26</v>
      </c>
      <c r="C27" s="1" t="str">
        <f>_xlfn.XLOOKUP(A27,'[1]Results Filtered'!$H:$H,'[1]Results Filtered'!$A:$A)</f>
        <v>Whole mAb</v>
      </c>
      <c r="D27" s="1" t="str">
        <f>_xlfn.XLOOKUP(A27,'[1]Results Filtered'!$H:$H,'[1]Results Filtered'!$B:$B)</f>
        <v>G2</v>
      </c>
      <c r="E27" s="1" t="str">
        <f>_xlfn.XLOOKUP(A27,'[1]Results Filtered'!$H:$H,'[1]Results Filtered'!$C:$C)</f>
        <v>Kappa</v>
      </c>
      <c r="F27" s="1" t="str">
        <f>_xlfn.XLOOKUP(A27,'[1]Results Filtered'!$H:$H,'[1]Results Filtered'!$D:$D)</f>
        <v>CALCA and CALCB</v>
      </c>
      <c r="G27" s="1"/>
      <c r="H27" s="1" t="str">
        <f>_xlfn.XLOOKUP(A27,'[1]Results Filtered'!$H:$H,'[1]Results Filtered'!$F:$F)</f>
        <v>Approved</v>
      </c>
      <c r="I27" s="1" t="str">
        <f>_xlfn.XLOOKUP(A27,'[1]Results Filtered'!$H:$H,'[1]Results Filtered'!$G:$G)</f>
        <v>Rinat Neuroscience;Teva Pharmaceutical Industries</v>
      </c>
      <c r="J27" s="1" t="str">
        <f>_xlfn.XLOOKUP(A27,'[2]Monoclonals Final'!$A:$A,'[2]Monoclonals Final'!$F:$F)</f>
        <v>https://patents.google.com/patent/US9884907B2/en?oq=US+9884907</v>
      </c>
      <c r="K27" s="1" t="str">
        <f>_xlfn.XLOOKUP(A27,'[2]Monoclonals Final'!$A:$A,'[2]Monoclonals Final'!$G:$G)</f>
        <v>“The sequences are cloned into mammalian expression vectors pDb.CGRP.hFcGI (heavy chain) and pEb.CGRP.hKGI (light chain), suitable for transient or stable expression in mammalian cells.”“Host cells include mammalian cells such as CHO, COS, HeLa… for expression of the antibody.”“G1 heavy chain full antibody nucleotide sequence… synthetic… 1347 bp… encodes heavy chain variable region and human IgG2 constant region… deposited as pDb.CGRP.hFcGI, ATCC PTA‑6867”“G1 light chain full antibody nucleotide sequence… synthetic… 645 bp… encodes light chain variable region and human kappa constant region… deposited as pEb.CGRP.hKGI, ATCC PTA‑6866”</v>
      </c>
      <c r="L27" s="5" t="s">
        <v>136</v>
      </c>
      <c r="M27" s="1">
        <v>14.339211238414936</v>
      </c>
      <c r="N27" s="1">
        <v>2.0219999999999998</v>
      </c>
      <c r="O27" s="1">
        <v>2.024</v>
      </c>
      <c r="P27" s="1">
        <v>2.0209999999999999</v>
      </c>
      <c r="Q27" s="1">
        <v>390.51601540110948</v>
      </c>
      <c r="R27" s="1">
        <v>341.37412762198682</v>
      </c>
      <c r="S27" s="1">
        <v>389.12720589172989</v>
      </c>
      <c r="T27" s="1">
        <v>6.7370895528995334</v>
      </c>
      <c r="U27" s="1">
        <v>1.6620242347172367</v>
      </c>
      <c r="V27" s="1">
        <v>0.56299181779225671</v>
      </c>
      <c r="W27" s="1">
        <v>9.832864017730715E-2</v>
      </c>
      <c r="X27" s="1">
        <v>3219692.310676361</v>
      </c>
      <c r="Y27" s="1">
        <v>510701.29492720804</v>
      </c>
      <c r="Z27" s="1">
        <v>2.5733633029999998</v>
      </c>
      <c r="AA27" s="1">
        <v>138.961618362</v>
      </c>
      <c r="AB27" s="1">
        <v>2.524546113</v>
      </c>
      <c r="AC27" s="1">
        <v>136.325490102</v>
      </c>
      <c r="AD27" s="1">
        <v>2.5036244600000002</v>
      </c>
      <c r="AE27" s="1">
        <v>135.19572084000001</v>
      </c>
      <c r="AF27" s="1">
        <v>4.33</v>
      </c>
      <c r="AG27" s="1">
        <v>0</v>
      </c>
      <c r="AH27" s="1">
        <v>95.67</v>
      </c>
      <c r="AI27" s="1">
        <v>2.64</v>
      </c>
      <c r="AJ27" s="1">
        <v>4.08</v>
      </c>
      <c r="AK27" s="1">
        <v>0</v>
      </c>
      <c r="AL27" s="1">
        <v>95.92</v>
      </c>
      <c r="AM27" s="1">
        <v>2.64</v>
      </c>
      <c r="AN27" s="1">
        <v>5.94</v>
      </c>
      <c r="AO27" s="1">
        <v>0</v>
      </c>
      <c r="AP27" s="1">
        <v>94.06</v>
      </c>
      <c r="AQ27" s="1">
        <v>2.64</v>
      </c>
    </row>
    <row r="28" spans="1:43" x14ac:dyDescent="0.35">
      <c r="A28" t="s">
        <v>99</v>
      </c>
      <c r="B28" s="1" t="s">
        <v>27</v>
      </c>
      <c r="C28" s="1" t="str">
        <f>_xlfn.XLOOKUP(A28,'[1]Results Filtered'!$H:$H,'[1]Results Filtered'!$A:$A)</f>
        <v>Whole mAb</v>
      </c>
      <c r="D28" s="1" t="str">
        <f>_xlfn.XLOOKUP(A28,'[1]Results Filtered'!$H:$H,'[1]Results Filtered'!$B:$B)</f>
        <v>G4</v>
      </c>
      <c r="E28" s="1" t="str">
        <f>_xlfn.XLOOKUP(A28,'[1]Results Filtered'!$H:$H,'[1]Results Filtered'!$C:$C)</f>
        <v>Kappa</v>
      </c>
      <c r="F28" s="1" t="str">
        <f>_xlfn.XLOOKUP(A28,'[1]Results Filtered'!$H:$H,'[1]Results Filtered'!$D:$D)</f>
        <v>CALCA and CALCB</v>
      </c>
      <c r="G28" s="1"/>
      <c r="H28" s="1" t="str">
        <f>_xlfn.XLOOKUP(A28,'[1]Results Filtered'!$H:$H,'[1]Results Filtered'!$F:$F)</f>
        <v>Approved</v>
      </c>
      <c r="I28" s="1" t="str">
        <f>_xlfn.XLOOKUP(A28,'[1]Results Filtered'!$H:$H,'[1]Results Filtered'!$G:$G)</f>
        <v>Eli Lilly</v>
      </c>
      <c r="J28" s="1" t="str">
        <f>_xlfn.XLOOKUP(A28,'[2]Monoclonals Final'!$A:$A,'[2]Monoclonals Final'!$F:$F)</f>
        <v>https://patents.google.com/patent/US20230159628A1/en?oq=JP+2018517727</v>
      </c>
      <c r="K28" s="1" t="str">
        <f>_xlfn.XLOOKUP(A28,'[2]Monoclonals Final'!$A:$A,'[2]Monoclonals Final'!$G:$G)</f>
        <v>“[0066] SEQ ID NO: 5 - Exemplified nucleotide sequence (encoding a LC of an anti-CGRP antibody of the present invention)”“[0067] SEQ ID NO: 6 - Exemplified nucleotide sequence (encoding a HC of an anti-CGRP antibody of the present invention)”“An appropriate host cell, such as CHO, is either transiently or stably transfected with an expression system for secreting antibodies…”
“…such as each LC being SEQ ID NO: 3 and each HC being SEQ ID NO: 4.”</v>
      </c>
      <c r="L28" s="5" t="s">
        <v>137</v>
      </c>
      <c r="M28" s="1">
        <v>14.578670558660511</v>
      </c>
      <c r="N28" s="1">
        <v>1.899</v>
      </c>
      <c r="O28" s="1">
        <v>1.9</v>
      </c>
      <c r="P28" s="1">
        <v>1.9</v>
      </c>
      <c r="Q28" s="1">
        <v>439.99872487432037</v>
      </c>
      <c r="R28" s="1">
        <v>398.62136967534383</v>
      </c>
      <c r="S28" s="1">
        <v>463.72406263659326</v>
      </c>
      <c r="T28" s="1">
        <v>4.4307895870806151</v>
      </c>
      <c r="U28" s="1">
        <v>1.7190379644505358</v>
      </c>
      <c r="V28" s="1">
        <v>0.77562087774276733</v>
      </c>
      <c r="W28" s="1">
        <v>0.29152063995432476</v>
      </c>
      <c r="X28" s="1">
        <v>2109674.9901736812</v>
      </c>
      <c r="Y28" s="1">
        <v>781457.70802246523</v>
      </c>
      <c r="Z28" s="1">
        <v>2.4693609649999999</v>
      </c>
      <c r="AA28" s="1">
        <v>133.34549211000001</v>
      </c>
      <c r="AB28" s="1">
        <v>2.1469721719999999</v>
      </c>
      <c r="AC28" s="1">
        <v>115.936497288</v>
      </c>
      <c r="AD28" s="1">
        <v>2.2361435410000001</v>
      </c>
      <c r="AE28" s="1">
        <v>120.75175121400001</v>
      </c>
      <c r="AF28" s="1">
        <v>44.65</v>
      </c>
      <c r="AG28" s="1">
        <v>0.03</v>
      </c>
      <c r="AH28" s="1">
        <v>55.32</v>
      </c>
      <c r="AI28" s="1">
        <v>2.4700000000000002</v>
      </c>
      <c r="AJ28" s="1">
        <v>43.81</v>
      </c>
      <c r="AK28" s="1">
        <v>0</v>
      </c>
      <c r="AL28" s="1">
        <v>56.19</v>
      </c>
      <c r="AM28" s="1">
        <v>2.4700000000000002</v>
      </c>
      <c r="AN28" s="1">
        <v>23.05</v>
      </c>
      <c r="AO28" s="1">
        <v>0</v>
      </c>
      <c r="AP28" s="1">
        <v>76.95</v>
      </c>
      <c r="AQ28" s="1">
        <v>2.4700000000000002</v>
      </c>
    </row>
    <row r="29" spans="1:43" x14ac:dyDescent="0.35">
      <c r="A29" t="s">
        <v>99</v>
      </c>
      <c r="B29" s="1" t="s">
        <v>28</v>
      </c>
      <c r="C29" s="1" t="str">
        <f>_xlfn.XLOOKUP(A29,'[1]Results Filtered'!$H:$H,'[1]Results Filtered'!$A:$A)</f>
        <v>Whole mAb</v>
      </c>
      <c r="D29" s="1" t="str">
        <f>_xlfn.XLOOKUP(A29,'[1]Results Filtered'!$H:$H,'[1]Results Filtered'!$B:$B)</f>
        <v>G4</v>
      </c>
      <c r="E29" s="1" t="str">
        <f>_xlfn.XLOOKUP(A29,'[1]Results Filtered'!$H:$H,'[1]Results Filtered'!$C:$C)</f>
        <v>Kappa</v>
      </c>
      <c r="F29" s="1" t="str">
        <f>_xlfn.XLOOKUP(A29,'[1]Results Filtered'!$H:$H,'[1]Results Filtered'!$D:$D)</f>
        <v>CALCA and CALCB</v>
      </c>
      <c r="G29" s="1"/>
      <c r="H29" s="1" t="str">
        <f>_xlfn.XLOOKUP(A29,'[1]Results Filtered'!$H:$H,'[1]Results Filtered'!$F:$F)</f>
        <v>Approved</v>
      </c>
      <c r="I29" s="1" t="str">
        <f>_xlfn.XLOOKUP(A29,'[1]Results Filtered'!$H:$H,'[1]Results Filtered'!$G:$G)</f>
        <v>Eli Lilly</v>
      </c>
      <c r="J29" s="1" t="str">
        <f>_xlfn.XLOOKUP(A29,'[2]Monoclonals Final'!$A:$A,'[2]Monoclonals Final'!$F:$F)</f>
        <v>https://patents.google.com/patent/US20230159628A1/en?oq=JP+2018517727</v>
      </c>
      <c r="K29" s="1" t="str">
        <f>_xlfn.XLOOKUP(A29,'[2]Monoclonals Final'!$A:$A,'[2]Monoclonals Final'!$G:$G)</f>
        <v>“[0066] SEQ ID NO: 5 - Exemplified nucleotide sequence (encoding a LC of an anti-CGRP antibody of the present invention)”“[0067] SEQ ID NO: 6 - Exemplified nucleotide sequence (encoding a HC of an anti-CGRP antibody of the present invention)”“An appropriate host cell, such as CHO, is either transiently or stably transfected with an expression system for secreting antibodies…”
“…such as each LC being SEQ ID NO: 3 and each HC being SEQ ID NO: 4.”</v>
      </c>
      <c r="L29" s="5" t="s">
        <v>137</v>
      </c>
      <c r="M29" s="1">
        <v>14.578670558660511</v>
      </c>
      <c r="N29" s="1">
        <v>1.899</v>
      </c>
      <c r="O29" s="1">
        <v>1.9</v>
      </c>
      <c r="P29" s="1">
        <v>1.9</v>
      </c>
      <c r="Q29" s="1">
        <v>357.36516634040777</v>
      </c>
      <c r="R29" s="1">
        <v>332.45340265169335</v>
      </c>
      <c r="S29" s="1">
        <v>381.07368138176952</v>
      </c>
      <c r="T29" s="1">
        <v>5.8204679594571944</v>
      </c>
      <c r="U29" s="1">
        <v>1.2565177246598935</v>
      </c>
      <c r="V29" s="1">
        <v>0.617082933584849</v>
      </c>
      <c r="W29" s="1">
        <v>0.11456101764628804</v>
      </c>
      <c r="X29" s="1">
        <v>3090380.7746939301</v>
      </c>
      <c r="Y29" s="1">
        <v>1110930.5614332331</v>
      </c>
      <c r="Z29" s="1">
        <v>1.9754887720000001</v>
      </c>
      <c r="AA29" s="1">
        <v>106.676393688</v>
      </c>
      <c r="AB29" s="1">
        <v>2.0440821320000002</v>
      </c>
      <c r="AC29" s="1">
        <v>110.38043512800002</v>
      </c>
      <c r="AD29" s="1">
        <v>2.2224248690000001</v>
      </c>
      <c r="AE29" s="1">
        <v>120.01094292600001</v>
      </c>
      <c r="AF29" s="1">
        <v>36.76</v>
      </c>
      <c r="AG29" s="1">
        <v>0</v>
      </c>
      <c r="AH29" s="1">
        <v>63.24</v>
      </c>
      <c r="AI29" s="1">
        <v>2.4700000000000002</v>
      </c>
      <c r="AJ29" s="1">
        <v>35.229999999999997</v>
      </c>
      <c r="AK29" s="1">
        <v>0</v>
      </c>
      <c r="AL29" s="1">
        <v>64.77</v>
      </c>
      <c r="AM29" s="1">
        <v>2.4700000000000002</v>
      </c>
      <c r="AN29" s="1">
        <v>23.37</v>
      </c>
      <c r="AO29" s="1">
        <v>0</v>
      </c>
      <c r="AP29" s="1">
        <v>76.63</v>
      </c>
      <c r="AQ29" s="1">
        <v>2.4700000000000002</v>
      </c>
    </row>
    <row r="30" spans="1:43" x14ac:dyDescent="0.35">
      <c r="A30" t="s">
        <v>100</v>
      </c>
      <c r="B30" s="1" t="s">
        <v>29</v>
      </c>
      <c r="C30" s="1" t="str">
        <f>_xlfn.XLOOKUP(A30,'[1]Results Filtered'!$H:$H,'[1]Results Filtered'!$A:$A)</f>
        <v>Whole mAb</v>
      </c>
      <c r="D30" s="1" t="str">
        <f>_xlfn.XLOOKUP(A30,'[1]Results Filtered'!$H:$H,'[1]Results Filtered'!$B:$B)</f>
        <v>G1</v>
      </c>
      <c r="E30" s="1" t="str">
        <f>_xlfn.XLOOKUP(A30,'[1]Results Filtered'!$H:$H,'[1]Results Filtered'!$C:$C)</f>
        <v>Kappa</v>
      </c>
      <c r="F30" s="1" t="str">
        <f>_xlfn.XLOOKUP(A30,'[1]Results Filtered'!$H:$H,'[1]Results Filtered'!$D:$D)</f>
        <v>TNF/TNFA</v>
      </c>
      <c r="G30" s="1"/>
      <c r="H30" s="1" t="str">
        <f>_xlfn.XLOOKUP(A30,'[1]Results Filtered'!$H:$H,'[1]Results Filtered'!$F:$F)</f>
        <v>Approved</v>
      </c>
      <c r="I30" s="1" t="str">
        <f>_xlfn.XLOOKUP(A30,'[1]Results Filtered'!$H:$H,'[1]Results Filtered'!$G:$G)</f>
        <v>Centocor;Janssen Biotech;Merck &amp; Co;Mitsubishi Tanabe Pharma Corporation;National Jewish Medical and Research Center;Xian-Janssen</v>
      </c>
      <c r="J30" s="1" t="str">
        <f>_xlfn.XLOOKUP(A30,'[2]Monoclonals Final'!$A:$A,'[2]Monoclonals Final'!$F:$F)</f>
        <v>https://patents.google.com/patent/US10066019B2/en?oq=US+10066019</v>
      </c>
      <c r="K30" s="1" t="str">
        <f>_xlfn.XLOOKUP(A30,'[2]Monoclonals Final'!$A:$A,'[2]Monoclonals Final'!$G:$G)</f>
        <v>“…infliximab (Remicade, CAS number 170277‑31‑3); a heavy chain signal peptide of SEQ ID NO: 3 fused to the heavy chain amino acid sequence of infliximab; … the amino acid sequence for infliximab (H) SEQ ID NO: 13; the nucleotide sequence encoding infliximab (H) SEQ ID NO: 23…”“…infliximab (Remicade)… a light chain signal peptide of SEQ ID NO: 4 fused to the light chain amino acid sequence of infliximab (L) SEQ ID NO: 18; the nucleotide sequence encoding infliximab (L) SEQ ID NO: 28…”“Transient antibody expression… transfected into CHO‑K1 cells…”“The best signal peptide combination… was selected and co‑expressed in CHO cells…”</v>
      </c>
      <c r="L30" s="5" t="s">
        <v>138</v>
      </c>
      <c r="M30" s="1">
        <v>14.433689850743027</v>
      </c>
      <c r="N30" s="1">
        <v>1.89</v>
      </c>
      <c r="O30" s="1">
        <v>1.8919999999999999</v>
      </c>
      <c r="P30" s="1">
        <v>1.895</v>
      </c>
      <c r="Q30" s="1">
        <v>146.78453656414376</v>
      </c>
      <c r="R30" s="1">
        <v>136.09879293319594</v>
      </c>
      <c r="S30" s="1">
        <v>175.45295881645717</v>
      </c>
      <c r="T30" s="1">
        <v>4.4474580314831273</v>
      </c>
      <c r="U30" s="1">
        <v>1.0279549374560442</v>
      </c>
      <c r="V30" s="1">
        <v>0.54776269197463989</v>
      </c>
      <c r="W30" s="1">
        <v>0.17176321101535211</v>
      </c>
      <c r="X30" s="1">
        <v>2083289.1011016918</v>
      </c>
      <c r="Y30" s="1">
        <v>624529.92372175574</v>
      </c>
      <c r="Z30" s="1">
        <v>2.3625282479999998</v>
      </c>
      <c r="AA30" s="1">
        <v>127.57652539199999</v>
      </c>
      <c r="AB30" s="1">
        <v>2.521877661</v>
      </c>
      <c r="AC30" s="1">
        <v>136.18139369400001</v>
      </c>
      <c r="AD30" s="1">
        <v>2.2863176599999999</v>
      </c>
      <c r="AE30" s="1">
        <v>123.46115363999999</v>
      </c>
      <c r="AF30" s="1">
        <v>2.7</v>
      </c>
      <c r="AG30" s="1">
        <v>0</v>
      </c>
      <c r="AH30" s="1">
        <v>97.3</v>
      </c>
      <c r="AI30" s="1">
        <v>2.62</v>
      </c>
      <c r="AJ30" s="1">
        <v>3.2</v>
      </c>
      <c r="AK30" s="1">
        <v>0</v>
      </c>
      <c r="AL30" s="1">
        <v>96.8</v>
      </c>
      <c r="AM30" s="1">
        <v>2.63</v>
      </c>
      <c r="AN30" s="1">
        <v>3.77</v>
      </c>
      <c r="AO30" s="1">
        <v>0</v>
      </c>
      <c r="AP30" s="1">
        <v>96.23</v>
      </c>
      <c r="AQ30" s="1">
        <v>2.63</v>
      </c>
    </row>
    <row r="31" spans="1:43" x14ac:dyDescent="0.35">
      <c r="A31" t="s">
        <v>100</v>
      </c>
      <c r="B31" s="1" t="s">
        <v>30</v>
      </c>
      <c r="C31" s="1" t="str">
        <f>_xlfn.XLOOKUP(A31,'[1]Results Filtered'!$H:$H,'[1]Results Filtered'!$A:$A)</f>
        <v>Whole mAb</v>
      </c>
      <c r="D31" s="1" t="str">
        <f>_xlfn.XLOOKUP(A31,'[1]Results Filtered'!$H:$H,'[1]Results Filtered'!$B:$B)</f>
        <v>G1</v>
      </c>
      <c r="E31" s="1" t="str">
        <f>_xlfn.XLOOKUP(A31,'[1]Results Filtered'!$H:$H,'[1]Results Filtered'!$C:$C)</f>
        <v>Kappa</v>
      </c>
      <c r="F31" s="1" t="str">
        <f>_xlfn.XLOOKUP(A31,'[1]Results Filtered'!$H:$H,'[1]Results Filtered'!$D:$D)</f>
        <v>TNF/TNFA</v>
      </c>
      <c r="G31" s="1"/>
      <c r="H31" s="1" t="str">
        <f>_xlfn.XLOOKUP(A31,'[1]Results Filtered'!$H:$H,'[1]Results Filtered'!$F:$F)</f>
        <v>Approved</v>
      </c>
      <c r="I31" s="1" t="str">
        <f>_xlfn.XLOOKUP(A31,'[1]Results Filtered'!$H:$H,'[1]Results Filtered'!$G:$G)</f>
        <v>Centocor;Janssen Biotech;Merck &amp; Co;Mitsubishi Tanabe Pharma Corporation;National Jewish Medical and Research Center;Xian-Janssen</v>
      </c>
      <c r="J31" s="1" t="str">
        <f>_xlfn.XLOOKUP(A31,'[2]Monoclonals Final'!$A:$A,'[2]Monoclonals Final'!$F:$F)</f>
        <v>https://patents.google.com/patent/US10066019B2/en?oq=US+10066019</v>
      </c>
      <c r="K31" s="1" t="str">
        <f>_xlfn.XLOOKUP(A31,'[2]Monoclonals Final'!$A:$A,'[2]Monoclonals Final'!$G:$G)</f>
        <v>“…infliximab (Remicade, CAS number 170277‑31‑3); a heavy chain signal peptide of SEQ ID NO: 3 fused to the heavy chain amino acid sequence of infliximab; … the amino acid sequence for infliximab (H) SEQ ID NO: 13; the nucleotide sequence encoding infliximab (H) SEQ ID NO: 23…”“…infliximab (Remicade)… a light chain signal peptide of SEQ ID NO: 4 fused to the light chain amino acid sequence of infliximab (L) SEQ ID NO: 18; the nucleotide sequence encoding infliximab (L) SEQ ID NO: 28…”“Transient antibody expression… transfected into CHO‑K1 cells…”“The best signal peptide combination… was selected and co‑expressed in CHO cells…”</v>
      </c>
      <c r="L31" s="5" t="s">
        <v>138</v>
      </c>
      <c r="M31" s="1">
        <v>14.433689850743027</v>
      </c>
      <c r="N31" s="1">
        <v>1.89</v>
      </c>
      <c r="O31" s="1">
        <v>1.891</v>
      </c>
      <c r="P31" s="1">
        <v>1.89</v>
      </c>
      <c r="Q31" s="1">
        <v>98.456112310805182</v>
      </c>
      <c r="R31" s="1">
        <v>96.485467951093938</v>
      </c>
      <c r="S31" s="1">
        <v>110.75838759340634</v>
      </c>
      <c r="T31" s="1">
        <v>3.5929600035918461</v>
      </c>
      <c r="U31" s="1">
        <v>1.7526110196658977</v>
      </c>
      <c r="V31" s="1">
        <v>0.79011101524035132</v>
      </c>
      <c r="W31" s="1">
        <v>0.4007322310714051</v>
      </c>
      <c r="X31" s="1">
        <v>2028623.4586137536</v>
      </c>
      <c r="Y31" s="1">
        <v>654757.34539505234</v>
      </c>
      <c r="Z31" s="1">
        <v>2.1408247180000002</v>
      </c>
      <c r="AA31" s="1">
        <v>115.60453477200001</v>
      </c>
      <c r="AB31" s="1">
        <v>1.967618834</v>
      </c>
      <c r="AC31" s="1">
        <v>106.25141703600001</v>
      </c>
      <c r="AD31" s="1">
        <v>2.3140306009999998</v>
      </c>
      <c r="AE31" s="1">
        <v>124.95765245399998</v>
      </c>
      <c r="AF31" s="1">
        <v>1.44</v>
      </c>
      <c r="AG31" s="1">
        <v>0</v>
      </c>
      <c r="AH31" s="1">
        <v>98.56</v>
      </c>
      <c r="AI31" s="1">
        <v>2.62</v>
      </c>
      <c r="AJ31" s="1">
        <v>1.69</v>
      </c>
      <c r="AK31" s="1">
        <v>0</v>
      </c>
      <c r="AL31" s="1">
        <v>98.31</v>
      </c>
      <c r="AM31" s="1">
        <v>2.62</v>
      </c>
      <c r="AN31" s="1">
        <v>1.91</v>
      </c>
      <c r="AO31" s="1">
        <v>0</v>
      </c>
      <c r="AP31" s="1">
        <v>98.09</v>
      </c>
      <c r="AQ31" s="1">
        <v>2.63</v>
      </c>
    </row>
    <row r="32" spans="1:43" x14ac:dyDescent="0.35">
      <c r="A32" t="s">
        <v>101</v>
      </c>
      <c r="B32" s="1" t="s">
        <v>31</v>
      </c>
      <c r="C32" s="1" t="str">
        <f>_xlfn.XLOOKUP(A32,'[1]Results Filtered'!$H:$H,'[1]Results Filtered'!$A:$A)</f>
        <v>Bispecific mAb</v>
      </c>
      <c r="D32" s="1" t="str">
        <f>_xlfn.XLOOKUP(A32,'[1]Results Filtered'!$H:$H,'[1]Results Filtered'!$B:$B)</f>
        <v>G4</v>
      </c>
      <c r="E32" s="1" t="str">
        <f>_xlfn.XLOOKUP(A32,'[1]Results Filtered'!$H:$H,'[1]Results Filtered'!$C:$C)</f>
        <v>Kappa;Kappa</v>
      </c>
      <c r="F32" s="1" t="str">
        <f>_xlfn.XLOOKUP(A32,'[1]Results Filtered'!$H:$H,'[1]Results Filtered'!$D:$D)</f>
        <v>EGFR/ERBB1/HER1;CD28</v>
      </c>
      <c r="G32" s="1" t="str">
        <f>_xlfn.XLOOKUP(A32,'[1]Results Filtered'!$H:$H,'[1]Results Filtered'!$E:$E)</f>
        <v>IgG like bispecific, common light chain. Veloci-BI ™, one Fc contains chimeric fc that ablates pro A and is purified out</v>
      </c>
      <c r="H32" s="1" t="str">
        <f>_xlfn.XLOOKUP(A32,'[1]Results Filtered'!$H:$H,'[1]Results Filtered'!$F:$F)</f>
        <v>Phase-II</v>
      </c>
      <c r="I32" s="1" t="str">
        <f>_xlfn.XLOOKUP(A32,'[1]Results Filtered'!$H:$H,'[1]Results Filtered'!$G:$G)</f>
        <v>Regeneron</v>
      </c>
      <c r="J32" s="1" t="s">
        <v>117</v>
      </c>
      <c r="K32" s="1" t="s">
        <v>118</v>
      </c>
      <c r="L32" s="5" t="s">
        <v>139</v>
      </c>
      <c r="M32" s="1">
        <v>16.147330144640396</v>
      </c>
      <c r="N32" s="1">
        <v>1.895</v>
      </c>
      <c r="O32" s="1">
        <v>1.8959999999999999</v>
      </c>
      <c r="P32" s="1">
        <v>1.8959999999999999</v>
      </c>
      <c r="Q32" s="1">
        <v>141.565282337745</v>
      </c>
      <c r="R32" s="1">
        <v>132.53836569586878</v>
      </c>
      <c r="S32" s="1">
        <v>139.31643457851504</v>
      </c>
      <c r="T32" s="1">
        <v>3.875902783908221</v>
      </c>
      <c r="U32" s="1">
        <v>1.4841927342095265</v>
      </c>
      <c r="V32" s="1">
        <v>0.60579180717468262</v>
      </c>
      <c r="W32" s="1">
        <v>0.28616076935557672</v>
      </c>
      <c r="X32" s="1">
        <v>1949500.7111155738</v>
      </c>
      <c r="Y32" s="1">
        <v>577392.58395990019</v>
      </c>
      <c r="Z32" s="1">
        <v>2.2232777600000002</v>
      </c>
      <c r="AA32" s="1">
        <v>120.05699904000001</v>
      </c>
      <c r="AB32" s="1">
        <v>1.870278227</v>
      </c>
      <c r="AC32" s="1">
        <v>100.995024258</v>
      </c>
      <c r="AD32" s="1">
        <v>1.901243099</v>
      </c>
      <c r="AE32" s="1">
        <v>102.667127346</v>
      </c>
      <c r="AF32" s="1">
        <v>35.01</v>
      </c>
      <c r="AG32" s="1">
        <v>0.01</v>
      </c>
      <c r="AH32" s="1">
        <v>64.98</v>
      </c>
      <c r="AI32" s="1">
        <v>2.5299999999999998</v>
      </c>
      <c r="AJ32" s="1">
        <v>24.97</v>
      </c>
      <c r="AK32" s="1">
        <v>0</v>
      </c>
      <c r="AL32" s="1">
        <v>75.03</v>
      </c>
      <c r="AM32" s="1">
        <v>2.54</v>
      </c>
      <c r="AN32" s="1">
        <v>22.08</v>
      </c>
      <c r="AO32" s="1">
        <v>0</v>
      </c>
      <c r="AP32" s="1">
        <v>77.92</v>
      </c>
      <c r="AQ32" s="1">
        <v>2.54</v>
      </c>
    </row>
    <row r="33" spans="1:43" x14ac:dyDescent="0.35">
      <c r="A33" t="s">
        <v>101</v>
      </c>
      <c r="B33" s="1" t="s">
        <v>32</v>
      </c>
      <c r="C33" s="1" t="str">
        <f>_xlfn.XLOOKUP(A33,'[1]Results Filtered'!$H:$H,'[1]Results Filtered'!$A:$A)</f>
        <v>Bispecific mAb</v>
      </c>
      <c r="D33" s="1" t="str">
        <f>_xlfn.XLOOKUP(A33,'[1]Results Filtered'!$H:$H,'[1]Results Filtered'!$B:$B)</f>
        <v>G4</v>
      </c>
      <c r="E33" s="1" t="str">
        <f>_xlfn.XLOOKUP(A33,'[1]Results Filtered'!$H:$H,'[1]Results Filtered'!$C:$C)</f>
        <v>Kappa;Kappa</v>
      </c>
      <c r="F33" s="1" t="str">
        <f>_xlfn.XLOOKUP(A33,'[1]Results Filtered'!$H:$H,'[1]Results Filtered'!$D:$D)</f>
        <v>EGFR/ERBB1/HER1;CD28</v>
      </c>
      <c r="G33" s="1" t="str">
        <f>_xlfn.XLOOKUP(A33,'[1]Results Filtered'!$H:$H,'[1]Results Filtered'!$E:$E)</f>
        <v>IgG like bispecific, common light chain. Veloci-BI ™, one Fc contains chimeric fc that ablates pro A and is purified out</v>
      </c>
      <c r="H33" s="1" t="str">
        <f>_xlfn.XLOOKUP(A33,'[1]Results Filtered'!$H:$H,'[1]Results Filtered'!$F:$F)</f>
        <v>Phase-II</v>
      </c>
      <c r="I33" s="1" t="str">
        <f>_xlfn.XLOOKUP(A33,'[1]Results Filtered'!$H:$H,'[1]Results Filtered'!$G:$G)</f>
        <v>Regeneron</v>
      </c>
      <c r="J33" s="1" t="s">
        <v>117</v>
      </c>
      <c r="K33" s="1" t="s">
        <v>118</v>
      </c>
      <c r="L33" s="5" t="s">
        <v>139</v>
      </c>
      <c r="M33" s="1">
        <v>16.147330144640396</v>
      </c>
      <c r="N33" s="1">
        <v>1.89</v>
      </c>
      <c r="O33" s="1">
        <v>1.889</v>
      </c>
      <c r="P33" s="1">
        <v>1.889</v>
      </c>
      <c r="Q33" s="1">
        <v>66.193846862810773</v>
      </c>
      <c r="R33" s="1">
        <v>68.101337413716962</v>
      </c>
      <c r="S33" s="1">
        <v>72.544277934094637</v>
      </c>
      <c r="T33" s="1">
        <v>4.5510567166691844</v>
      </c>
      <c r="U33" s="1">
        <v>0.76624966066466227</v>
      </c>
      <c r="V33" s="1">
        <v>0.45631887515385944</v>
      </c>
      <c r="W33" s="1">
        <v>0.19535987094458218</v>
      </c>
      <c r="X33" s="1">
        <v>2335797.6233447208</v>
      </c>
      <c r="Y33" s="1">
        <v>403744.27621516061</v>
      </c>
      <c r="Z33" s="1">
        <v>1.777383613</v>
      </c>
      <c r="AA33" s="1">
        <v>95.978715101999995</v>
      </c>
      <c r="AB33" s="1">
        <v>1.542050591</v>
      </c>
      <c r="AC33" s="1">
        <v>83.270731913999995</v>
      </c>
      <c r="AD33" s="1">
        <v>1.8207344329999999</v>
      </c>
      <c r="AE33" s="1">
        <v>98.319659381999998</v>
      </c>
      <c r="AF33" s="1">
        <v>29.35</v>
      </c>
      <c r="AG33" s="1">
        <v>0</v>
      </c>
      <c r="AH33" s="1">
        <v>70.650000000000006</v>
      </c>
      <c r="AI33" s="1">
        <v>2.54</v>
      </c>
      <c r="AJ33" s="1">
        <v>28.33</v>
      </c>
      <c r="AK33" s="1">
        <v>0</v>
      </c>
      <c r="AL33" s="1">
        <v>71.67</v>
      </c>
      <c r="AM33" s="1">
        <v>2.54</v>
      </c>
      <c r="AN33" s="1">
        <v>30.33</v>
      </c>
      <c r="AO33" s="1">
        <v>0</v>
      </c>
      <c r="AP33" s="1">
        <v>69.67</v>
      </c>
      <c r="AQ33" s="1">
        <v>2.54</v>
      </c>
    </row>
    <row r="34" spans="1:43" x14ac:dyDescent="0.35">
      <c r="A34" t="s">
        <v>102</v>
      </c>
      <c r="B34" s="1" t="s">
        <v>33</v>
      </c>
      <c r="C34" s="1" t="str">
        <f>_xlfn.XLOOKUP(A34,'[1]Results Filtered'!$H:$H,'[1]Results Filtered'!$A:$A)</f>
        <v>Whole mAb Fusion</v>
      </c>
      <c r="D34" s="1" t="str">
        <f>_xlfn.XLOOKUP(A34,'[1]Results Filtered'!$H:$H,'[1]Results Filtered'!$B:$B)</f>
        <v>G1</v>
      </c>
      <c r="E34" s="1" t="str">
        <f>_xlfn.XLOOKUP(A34,'[1]Results Filtered'!$H:$H,'[1]Results Filtered'!$C:$C)</f>
        <v>Kappa</v>
      </c>
      <c r="F34" s="1" t="str">
        <f>_xlfn.XLOOKUP(A34,'[1]Results Filtered'!$H:$H,'[1]Results Filtered'!$D:$D)</f>
        <v>Non-Binding</v>
      </c>
      <c r="G34" s="1" t="str">
        <f>_xlfn.XLOOKUP(A34,'[1]Results Filtered'!$H:$H,'[1]Results Filtered'!$E:$E)</f>
        <v>non-binding IgG1 fused to IL-2 mutein on heavy chain C term</v>
      </c>
      <c r="H34" s="1" t="str">
        <f>_xlfn.XLOOKUP(A34,'[1]Results Filtered'!$H:$H,'[1]Results Filtered'!$F:$F)</f>
        <v>Phase-II</v>
      </c>
      <c r="I34" s="1" t="str">
        <f>_xlfn.XLOOKUP(A34,'[1]Results Filtered'!$H:$H,'[1]Results Filtered'!$G:$G)</f>
        <v>Roche</v>
      </c>
      <c r="J34" s="1" t="s">
        <v>119</v>
      </c>
      <c r="K34" s="2" t="s">
        <v>120</v>
      </c>
      <c r="L34" s="6" t="s">
        <v>140</v>
      </c>
      <c r="M34" s="1">
        <v>11.920289033842064</v>
      </c>
      <c r="N34" s="1">
        <v>1.996</v>
      </c>
      <c r="O34" s="1">
        <v>2.0019999999999998</v>
      </c>
      <c r="P34" s="1">
        <v>2</v>
      </c>
      <c r="Q34" s="1">
        <v>114.32352090079218</v>
      </c>
      <c r="R34" s="1">
        <v>72.808080072796855</v>
      </c>
      <c r="S34" s="1">
        <v>85.772551371529076</v>
      </c>
      <c r="T34" s="1">
        <v>14.297839652973229</v>
      </c>
      <c r="U34" s="1">
        <v>3.9701779491235993</v>
      </c>
      <c r="V34" s="1">
        <v>0.74133578936258948</v>
      </c>
      <c r="W34" s="1">
        <v>8.9908960228760271E-2</v>
      </c>
      <c r="X34" s="1">
        <v>6275095.3447019337</v>
      </c>
      <c r="Y34" s="1">
        <v>1979085.5577444804</v>
      </c>
      <c r="Z34" s="1">
        <v>2.399270682</v>
      </c>
      <c r="AA34" s="1">
        <v>129.56061682800001</v>
      </c>
      <c r="AB34" s="1">
        <v>2.2818238649999998</v>
      </c>
      <c r="AC34" s="1">
        <v>123.21848870999999</v>
      </c>
      <c r="AD34" s="1">
        <v>2.5922190239999998</v>
      </c>
      <c r="AE34" s="1">
        <v>139.979827296</v>
      </c>
      <c r="AF34" s="1">
        <v>0.14000000000000001</v>
      </c>
      <c r="AG34" s="1">
        <v>0</v>
      </c>
      <c r="AH34" s="1">
        <v>99.86</v>
      </c>
      <c r="AI34" s="1">
        <v>2.31</v>
      </c>
      <c r="AJ34" s="1">
        <v>0.08</v>
      </c>
      <c r="AK34" s="1">
        <v>0</v>
      </c>
      <c r="AL34" s="1">
        <v>99.91</v>
      </c>
      <c r="AM34" s="1">
        <v>2.2999999999999998</v>
      </c>
      <c r="AN34" s="1">
        <v>0.06</v>
      </c>
      <c r="AO34" s="1">
        <v>0</v>
      </c>
      <c r="AP34" s="1">
        <v>99.94</v>
      </c>
      <c r="AQ34" s="1">
        <v>2.2999999999999998</v>
      </c>
    </row>
    <row r="35" spans="1:43" x14ac:dyDescent="0.35">
      <c r="A35" t="s">
        <v>102</v>
      </c>
      <c r="B35" s="1" t="s">
        <v>34</v>
      </c>
      <c r="C35" s="1" t="str">
        <f>_xlfn.XLOOKUP(A35,'[1]Results Filtered'!$H:$H,'[1]Results Filtered'!$A:$A)</f>
        <v>Whole mAb Fusion</v>
      </c>
      <c r="D35" s="1" t="str">
        <f>_xlfn.XLOOKUP(A35,'[1]Results Filtered'!$H:$H,'[1]Results Filtered'!$B:$B)</f>
        <v>G1</v>
      </c>
      <c r="E35" s="1" t="str">
        <f>_xlfn.XLOOKUP(A35,'[1]Results Filtered'!$H:$H,'[1]Results Filtered'!$C:$C)</f>
        <v>Kappa</v>
      </c>
      <c r="F35" s="1" t="str">
        <f>_xlfn.XLOOKUP(A35,'[1]Results Filtered'!$H:$H,'[1]Results Filtered'!$D:$D)</f>
        <v>Non-Binding</v>
      </c>
      <c r="G35" s="1" t="str">
        <f>_xlfn.XLOOKUP(A35,'[1]Results Filtered'!$H:$H,'[1]Results Filtered'!$E:$E)</f>
        <v>non-binding IgG1 fused to IL-2 mutein on heavy chain C term</v>
      </c>
      <c r="H35" s="1" t="str">
        <f>_xlfn.XLOOKUP(A35,'[1]Results Filtered'!$H:$H,'[1]Results Filtered'!$F:$F)</f>
        <v>Phase-II</v>
      </c>
      <c r="I35" s="1" t="str">
        <f>_xlfn.XLOOKUP(A35,'[1]Results Filtered'!$H:$H,'[1]Results Filtered'!$G:$G)</f>
        <v>Roche</v>
      </c>
      <c r="J35" s="1" t="s">
        <v>119</v>
      </c>
      <c r="K35" s="2" t="s">
        <v>120</v>
      </c>
      <c r="L35" s="6" t="s">
        <v>140</v>
      </c>
      <c r="M35" s="1">
        <v>11.920289033842064</v>
      </c>
      <c r="N35" s="1">
        <v>1.994</v>
      </c>
      <c r="O35" s="1">
        <v>2.0009999999999999</v>
      </c>
      <c r="P35" s="1">
        <v>1.9990000000000001</v>
      </c>
      <c r="Q35" s="1">
        <v>89.876454458577896</v>
      </c>
      <c r="R35" s="1">
        <v>52.361569211879363</v>
      </c>
      <c r="S35" s="1">
        <v>63.572331455455682</v>
      </c>
      <c r="T35" s="1">
        <v>10.587842306601184</v>
      </c>
      <c r="U35" s="1">
        <v>4.0656470301525198</v>
      </c>
      <c r="V35" s="1">
        <v>0.71529801686604821</v>
      </c>
      <c r="W35" s="1">
        <v>4.9570688464439024E-2</v>
      </c>
      <c r="X35" s="1">
        <v>4517792.4631023007</v>
      </c>
      <c r="Y35" s="1">
        <v>2559601.1021029479</v>
      </c>
      <c r="Z35" s="1">
        <v>1.9714287070000001</v>
      </c>
      <c r="AA35" s="1">
        <v>106.45715017800001</v>
      </c>
      <c r="AB35" s="1">
        <v>1.702978841</v>
      </c>
      <c r="AC35" s="1">
        <v>91.960857414000003</v>
      </c>
      <c r="AD35" s="1">
        <v>2.0720974069999998</v>
      </c>
      <c r="AE35" s="1">
        <v>111.89325997799999</v>
      </c>
      <c r="AF35" s="1">
        <v>0.31</v>
      </c>
      <c r="AG35" s="1">
        <v>0</v>
      </c>
      <c r="AH35" s="1">
        <v>99.69</v>
      </c>
      <c r="AI35" s="1">
        <v>2.31</v>
      </c>
      <c r="AJ35" s="1">
        <v>0.15</v>
      </c>
      <c r="AK35" s="1">
        <v>0</v>
      </c>
      <c r="AL35" s="1">
        <v>99.85</v>
      </c>
      <c r="AM35" s="1">
        <v>2.2999999999999998</v>
      </c>
      <c r="AN35" s="1">
        <v>0.08</v>
      </c>
      <c r="AO35" s="1">
        <v>0</v>
      </c>
      <c r="AP35" s="1">
        <v>99.92</v>
      </c>
      <c r="AQ35" s="1">
        <v>2.2999999999999998</v>
      </c>
    </row>
    <row r="36" spans="1:43" x14ac:dyDescent="0.35">
      <c r="A36" t="s">
        <v>103</v>
      </c>
      <c r="B36" s="1" t="s">
        <v>35</v>
      </c>
      <c r="C36" s="1" t="str">
        <f>_xlfn.XLOOKUP(A36,'[1]Results Filtered'!$H:$H,'[1]Results Filtered'!$A:$A)</f>
        <v>Whole mAb</v>
      </c>
      <c r="D36" s="1" t="str">
        <f>_xlfn.XLOOKUP(A36,'[1]Results Filtered'!$H:$H,'[1]Results Filtered'!$B:$B)</f>
        <v>G4</v>
      </c>
      <c r="E36" s="1" t="str">
        <f>_xlfn.XLOOKUP(A36,'[1]Results Filtered'!$H:$H,'[1]Results Filtered'!$C:$C)</f>
        <v>Kappa</v>
      </c>
      <c r="F36" s="1" t="str">
        <f>_xlfn.XLOOKUP(A36,'[1]Results Filtered'!$H:$H,'[1]Results Filtered'!$D:$D)</f>
        <v>IL23A</v>
      </c>
      <c r="G36" s="1"/>
      <c r="H36" s="1" t="str">
        <f>_xlfn.XLOOKUP(A36,'[1]Results Filtered'!$H:$H,'[1]Results Filtered'!$F:$F)</f>
        <v>Approved</v>
      </c>
      <c r="I36" s="1" t="str">
        <f>_xlfn.XLOOKUP(A36,'[1]Results Filtered'!$H:$H,'[1]Results Filtered'!$G:$G)</f>
        <v>Eli Lilly</v>
      </c>
      <c r="J36" s="1" t="str">
        <f>_xlfn.XLOOKUP(A36,'[2]Monoclonals Final'!$A:$A,'[2]Monoclonals Final'!$F:$F)</f>
        <v>https://patents.google.com/patent/US9023358B2/en?oq=US+9023358</v>
      </c>
      <c r="K36" s="1" t="str">
        <f>_xlfn.XLOOKUP(A36,'[2]Monoclonals Final'!$A:$A,'[2]Monoclonals Final'!$G:$G)</f>
        <v>“The polynucleotides of the present invention will be
expressed in a host cell… The present invention provides a
recombinant host cell comprising the DNA molecule…
encoding a light chain polypeptide having the amino acid
sequence SEQ ID NO: 10 and… a heavy chain polypeptide
having the amino acid sequence SEQ ID NO: 9…
The antibody of the present invention may readily be produced in
mammalian cells such as CHO, NS0, HEK293 or COS cells;
in bacterial cells such as E. coli… or in fungal or yeast cells.”</v>
      </c>
      <c r="L36" s="5" t="s">
        <v>136</v>
      </c>
      <c r="M36" s="1">
        <v>14.833727040814074</v>
      </c>
      <c r="N36" s="1">
        <v>1.8979999999999999</v>
      </c>
      <c r="O36" s="1">
        <v>1.899</v>
      </c>
      <c r="P36" s="1">
        <v>1.897</v>
      </c>
      <c r="Q36" s="1">
        <v>92.724291067694736</v>
      </c>
      <c r="R36" s="1">
        <v>69.887824685447427</v>
      </c>
      <c r="S36" s="1">
        <v>95.790658334482217</v>
      </c>
      <c r="T36" s="1">
        <v>12.09613579670569</v>
      </c>
      <c r="U36" s="1">
        <v>4.6546433942543262</v>
      </c>
      <c r="V36" s="1">
        <v>0.79944489399592078</v>
      </c>
      <c r="W36" s="1">
        <v>0.36281459325859927</v>
      </c>
      <c r="X36" s="1">
        <v>4808585.5715018427</v>
      </c>
      <c r="Y36" s="1">
        <v>1604071.9293432652</v>
      </c>
      <c r="Z36" s="1">
        <v>3.00666177</v>
      </c>
      <c r="AA36" s="1">
        <v>162.35973558000001</v>
      </c>
      <c r="AB36" s="1">
        <v>1.901073137</v>
      </c>
      <c r="AC36" s="1">
        <v>102.657949398</v>
      </c>
      <c r="AD36" s="1">
        <v>2.1505047190000002</v>
      </c>
      <c r="AE36" s="1">
        <v>116.12725482600001</v>
      </c>
      <c r="AF36" s="1">
        <v>0.69</v>
      </c>
      <c r="AG36" s="1">
        <v>0</v>
      </c>
      <c r="AH36" s="1">
        <v>99.31</v>
      </c>
      <c r="AI36" s="1">
        <v>2.5499999999999998</v>
      </c>
      <c r="AJ36" s="1">
        <v>2.2000000000000002</v>
      </c>
      <c r="AK36" s="1">
        <v>0</v>
      </c>
      <c r="AL36" s="1">
        <v>97.8</v>
      </c>
      <c r="AM36" s="1">
        <v>2.54</v>
      </c>
      <c r="AN36" s="1">
        <v>3.16</v>
      </c>
      <c r="AO36" s="1">
        <v>0</v>
      </c>
      <c r="AP36" s="1">
        <v>96.84</v>
      </c>
      <c r="AQ36" s="1">
        <v>2.54</v>
      </c>
    </row>
    <row r="37" spans="1:43" x14ac:dyDescent="0.35">
      <c r="A37" t="s">
        <v>103</v>
      </c>
      <c r="B37" s="1" t="s">
        <v>36</v>
      </c>
      <c r="C37" s="1" t="str">
        <f>_xlfn.XLOOKUP(A37,'[1]Results Filtered'!$H:$H,'[1]Results Filtered'!$A:$A)</f>
        <v>Whole mAb</v>
      </c>
      <c r="D37" s="1" t="str">
        <f>_xlfn.XLOOKUP(A37,'[1]Results Filtered'!$H:$H,'[1]Results Filtered'!$B:$B)</f>
        <v>G4</v>
      </c>
      <c r="E37" s="1" t="str">
        <f>_xlfn.XLOOKUP(A37,'[1]Results Filtered'!$H:$H,'[1]Results Filtered'!$C:$C)</f>
        <v>Kappa</v>
      </c>
      <c r="F37" s="1" t="str">
        <f>_xlfn.XLOOKUP(A37,'[1]Results Filtered'!$H:$H,'[1]Results Filtered'!$D:$D)</f>
        <v>IL23A</v>
      </c>
      <c r="G37" s="1"/>
      <c r="H37" s="1" t="str">
        <f>_xlfn.XLOOKUP(A37,'[1]Results Filtered'!$H:$H,'[1]Results Filtered'!$F:$F)</f>
        <v>Approved</v>
      </c>
      <c r="I37" s="1" t="str">
        <f>_xlfn.XLOOKUP(A37,'[1]Results Filtered'!$H:$H,'[1]Results Filtered'!$G:$G)</f>
        <v>Eli Lilly</v>
      </c>
      <c r="J37" s="1" t="str">
        <f>_xlfn.XLOOKUP(A37,'[2]Monoclonals Final'!$A:$A,'[2]Monoclonals Final'!$F:$F)</f>
        <v>https://patents.google.com/patent/US9023358B2/en?oq=US+9023358</v>
      </c>
      <c r="K37" s="1" t="str">
        <f>_xlfn.XLOOKUP(A37,'[2]Monoclonals Final'!$A:$A,'[2]Monoclonals Final'!$G:$G)</f>
        <v>“The polynucleotides of the present invention will be
expressed in a host cell… The present invention provides a
recombinant host cell comprising the DNA molecule…
encoding a light chain polypeptide having the amino acid
sequence SEQ ID NO: 10 and… a heavy chain polypeptide
having the amino acid sequence SEQ ID NO: 9…
The antibody of the present invention may readily be produced in
mammalian cells such as CHO, NS0, HEK293 or COS cells;
in bacterial cells such as E. coli… or in fungal or yeast cells.”</v>
      </c>
      <c r="L37" s="5" t="s">
        <v>136</v>
      </c>
      <c r="M37" s="1">
        <v>14.833727040814074</v>
      </c>
      <c r="N37" s="1">
        <v>1.9</v>
      </c>
      <c r="O37" s="1">
        <v>1.901</v>
      </c>
      <c r="P37" s="1">
        <v>1.899</v>
      </c>
      <c r="Q37" s="1">
        <v>22.635668145148738</v>
      </c>
      <c r="R37" s="1">
        <v>16.297932539898301</v>
      </c>
      <c r="S37" s="1">
        <v>23.047928009553313</v>
      </c>
      <c r="T37" s="1">
        <v>14.996755837159981</v>
      </c>
      <c r="U37" s="1">
        <v>5.3153306857506779</v>
      </c>
      <c r="V37" s="1">
        <v>0.83546570936838782</v>
      </c>
      <c r="W37" s="1">
        <v>0.29007008114884208</v>
      </c>
      <c r="X37" s="1">
        <v>5495937.3651552415</v>
      </c>
      <c r="Y37" s="1">
        <v>2837580.8995372225</v>
      </c>
      <c r="Z37" s="1">
        <v>1.0921058450000001</v>
      </c>
      <c r="AA37" s="1">
        <v>58.973715630000001</v>
      </c>
      <c r="AB37" s="1">
        <v>0.85615705099999995</v>
      </c>
      <c r="AC37" s="1">
        <v>46.232480753999994</v>
      </c>
      <c r="AD37" s="1">
        <v>1.2943476679999999</v>
      </c>
      <c r="AE37" s="1">
        <v>69.89477407199999</v>
      </c>
      <c r="AF37" s="1">
        <v>0.46</v>
      </c>
      <c r="AG37" s="1">
        <v>0</v>
      </c>
      <c r="AH37" s="1">
        <v>99.54</v>
      </c>
      <c r="AI37" s="1">
        <v>2.54</v>
      </c>
      <c r="AJ37" s="1">
        <v>4.0599999999999996</v>
      </c>
      <c r="AK37" s="1">
        <v>0</v>
      </c>
      <c r="AL37" s="1">
        <v>95.94</v>
      </c>
      <c r="AM37" s="1">
        <v>2.54</v>
      </c>
      <c r="AN37" s="1">
        <v>3.91</v>
      </c>
      <c r="AO37" s="1">
        <v>0</v>
      </c>
      <c r="AP37" s="1">
        <v>96.09</v>
      </c>
      <c r="AQ37" s="1">
        <v>2.54</v>
      </c>
    </row>
    <row r="38" spans="1:43" x14ac:dyDescent="0.35">
      <c r="A38" t="s">
        <v>104</v>
      </c>
      <c r="B38" s="1" t="s">
        <v>37</v>
      </c>
      <c r="C38" s="1" t="str">
        <f>_xlfn.XLOOKUP(A38,'[1]Results Filtered'!$H:$H,'[1]Results Filtered'!$A:$A)</f>
        <v>Whole mAb</v>
      </c>
      <c r="D38" s="1" t="str">
        <f>_xlfn.XLOOKUP(A38,'[1]Results Filtered'!$H:$H,'[1]Results Filtered'!$B:$B)</f>
        <v>G4</v>
      </c>
      <c r="E38" s="1" t="str">
        <f>_xlfn.XLOOKUP(A38,'[1]Results Filtered'!$H:$H,'[1]Results Filtered'!$C:$C)</f>
        <v>Kappa</v>
      </c>
      <c r="F38" s="1" t="str">
        <f>_xlfn.XLOOKUP(A38,'[1]Results Filtered'!$H:$H,'[1]Results Filtered'!$D:$D)</f>
        <v>ITGA4/CD49D</v>
      </c>
      <c r="G38" s="1"/>
      <c r="H38" s="1" t="str">
        <f>_xlfn.XLOOKUP(A38,'[1]Results Filtered'!$H:$H,'[1]Results Filtered'!$F:$F)</f>
        <v>Approved</v>
      </c>
      <c r="I38" s="1" t="str">
        <f>_xlfn.XLOOKUP(A38,'[1]Results Filtered'!$H:$H,'[1]Results Filtered'!$G:$G)</f>
        <v>Biogen;Biogen Idec;Elan Corporation;Perrigo</v>
      </c>
      <c r="J38" s="1" t="str">
        <f>_xlfn.XLOOKUP(A38,'[2]Monoclonals Final'!$A:$A,'[2]Monoclonals Final'!$F:$F)</f>
        <v>https://patents.google.com/patent/US20240174738A1/en</v>
      </c>
      <c r="K38" s="1" t="str">
        <f>_xlfn.XLOOKUP(A38,'[2]Monoclonals Final'!$A:$A,'[2]Monoclonals Final'!$G:$G)</f>
        <v>“The cDNA sequence for the heavy chain of natalizumab (SEQ ID NO: 16) was obtained from the amino acid sequences of a leader sequence (SEQ ID NO: 13), the heavy chain variable region of natalizumab (SEQ ID NO: 14, Kabat numbering) and the human IgG4 heavy chain constant region (SEQ ID NO: 15, sequential numbering, Eu numbering starting at alanine 118; having a proline residue at position 225 and a cysteine residue at position 375).”“The cDNA sequence for the natalizumab light chain (SEQ ID NO: 19) was obtained from the amino acid sequences of a leader sequence (SEQ ID NO: 17), the light chain variable region of natalizumab (SEQ ID NO: 18, Kabat numbering), and the human κ Ig light chain constant region (SEQ ID NO: 6, sequential numbering).”“…back‑translating the combined amino acid sequences into a cDNA sequence optimized for expression in human cells (Homo sapiens).”“for example mammalian cells such as CHO, NSO or HEK 293 cells, or yeast cells (for example diploid yeast such as diploid Pichia)”“recombinant host cells, for example mammalian cells such as CHO, NSO or HEK 293 cells, or yeast cells (for example diploid yeast such as diploid Pichia)”</v>
      </c>
      <c r="L38" s="5" t="s">
        <v>141</v>
      </c>
      <c r="M38" s="1">
        <v>15.353471965997892</v>
      </c>
      <c r="N38" s="1">
        <v>1.9370000000000001</v>
      </c>
      <c r="O38" s="1">
        <v>1.93</v>
      </c>
      <c r="P38" s="1">
        <v>1.929</v>
      </c>
      <c r="Q38" s="1">
        <v>47.740411815733466</v>
      </c>
      <c r="R38" s="1">
        <v>16.735549523801886</v>
      </c>
      <c r="S38" s="1">
        <v>28.304321131256003</v>
      </c>
      <c r="T38" s="1">
        <v>27.127539918107384</v>
      </c>
      <c r="U38" s="1">
        <v>10.832536750980607</v>
      </c>
      <c r="V38" s="1">
        <v>0.74658445517222083</v>
      </c>
      <c r="W38" s="1">
        <v>0.18391193742992692</v>
      </c>
      <c r="X38" s="1">
        <v>12667660.687602721</v>
      </c>
      <c r="Y38" s="1">
        <v>8638349.7335118018</v>
      </c>
      <c r="Z38" s="1">
        <v>0.62526573900000004</v>
      </c>
      <c r="AA38" s="1">
        <v>33.764349906</v>
      </c>
      <c r="AB38" s="1">
        <v>0.36473834799999999</v>
      </c>
      <c r="AC38" s="1">
        <v>19.695870792000001</v>
      </c>
      <c r="AD38" s="1">
        <v>0.65131847799999998</v>
      </c>
      <c r="AE38" s="1">
        <v>35.171197811999996</v>
      </c>
      <c r="AF38" s="1">
        <v>33.83</v>
      </c>
      <c r="AG38" s="1">
        <v>24.77</v>
      </c>
      <c r="AH38" s="1">
        <v>41.4</v>
      </c>
      <c r="AI38" s="1">
        <v>2.5099999999999998</v>
      </c>
      <c r="AJ38" s="1">
        <v>81.95</v>
      </c>
      <c r="AK38" s="1">
        <v>0</v>
      </c>
      <c r="AL38" s="1">
        <v>28.05</v>
      </c>
      <c r="AM38" s="1">
        <v>2.661</v>
      </c>
      <c r="AN38" s="1">
        <v>87.8</v>
      </c>
      <c r="AO38" s="1">
        <v>0</v>
      </c>
      <c r="AP38" s="1">
        <v>12.2</v>
      </c>
      <c r="AQ38" s="1">
        <v>2.6680000000000001</v>
      </c>
    </row>
    <row r="39" spans="1:43" x14ac:dyDescent="0.35">
      <c r="A39" t="s">
        <v>104</v>
      </c>
      <c r="B39" s="1" t="s">
        <v>38</v>
      </c>
      <c r="C39" s="1" t="str">
        <f>_xlfn.XLOOKUP(A39,'[1]Results Filtered'!$H:$H,'[1]Results Filtered'!$A:$A)</f>
        <v>Whole mAb</v>
      </c>
      <c r="D39" s="1" t="str">
        <f>_xlfn.XLOOKUP(A39,'[1]Results Filtered'!$H:$H,'[1]Results Filtered'!$B:$B)</f>
        <v>G4</v>
      </c>
      <c r="E39" s="1" t="str">
        <f>_xlfn.XLOOKUP(A39,'[1]Results Filtered'!$H:$H,'[1]Results Filtered'!$C:$C)</f>
        <v>Kappa</v>
      </c>
      <c r="F39" s="1" t="str">
        <f>_xlfn.XLOOKUP(A39,'[1]Results Filtered'!$H:$H,'[1]Results Filtered'!$D:$D)</f>
        <v>ITGA4/CD49D</v>
      </c>
      <c r="G39" s="1"/>
      <c r="H39" s="1" t="str">
        <f>_xlfn.XLOOKUP(A39,'[1]Results Filtered'!$H:$H,'[1]Results Filtered'!$F:$F)</f>
        <v>Approved</v>
      </c>
      <c r="I39" s="1" t="str">
        <f>_xlfn.XLOOKUP(A39,'[1]Results Filtered'!$H:$H,'[1]Results Filtered'!$G:$G)</f>
        <v>Biogen;Biogen Idec;Elan Corporation;Perrigo</v>
      </c>
      <c r="J39" s="1" t="str">
        <f>_xlfn.XLOOKUP(A39,'[2]Monoclonals Final'!$A:$A,'[2]Monoclonals Final'!$F:$F)</f>
        <v>https://patents.google.com/patent/US20240174738A1/en</v>
      </c>
      <c r="K39" s="1" t="str">
        <f>_xlfn.XLOOKUP(A39,'[2]Monoclonals Final'!$A:$A,'[2]Monoclonals Final'!$G:$G)</f>
        <v>“The cDNA sequence for the heavy chain of natalizumab (SEQ ID NO: 16) was obtained from the amino acid sequences of a leader sequence (SEQ ID NO: 13), the heavy chain variable region of natalizumab (SEQ ID NO: 14, Kabat numbering) and the human IgG4 heavy chain constant region (SEQ ID NO: 15, sequential numbering, Eu numbering starting at alanine 118; having a proline residue at position 225 and a cysteine residue at position 375).”“The cDNA sequence for the natalizumab light chain (SEQ ID NO: 19) was obtained from the amino acid sequences of a leader sequence (SEQ ID NO: 17), the light chain variable region of natalizumab (SEQ ID NO: 18, Kabat numbering), and the human κ Ig light chain constant region (SEQ ID NO: 6, sequential numbering).”“…back‑translating the combined amino acid sequences into a cDNA sequence optimized for expression in human cells (Homo sapiens).”“for example mammalian cells such as CHO, NSO or HEK 293 cells, or yeast cells (for example diploid yeast such as diploid Pichia)”“recombinant host cells, for example mammalian cells such as CHO, NSO or HEK 293 cells, or yeast cells (for example diploid yeast such as diploid Pichia)”</v>
      </c>
      <c r="L39" s="5" t="s">
        <v>141</v>
      </c>
      <c r="M39" s="1">
        <v>15.353471965997892</v>
      </c>
      <c r="N39" s="1">
        <v>1.9219999999999999</v>
      </c>
      <c r="O39" s="1">
        <v>1.9239999999999999</v>
      </c>
      <c r="P39" s="1">
        <v>1.9219999999999999</v>
      </c>
      <c r="Q39" s="1">
        <v>8.8893722077570754</v>
      </c>
      <c r="R39" s="1">
        <v>2.9195765160833451</v>
      </c>
      <c r="S39" s="1">
        <v>1.3740802302017086</v>
      </c>
      <c r="T39" s="1">
        <v>20.812899848010602</v>
      </c>
      <c r="U39" s="1">
        <v>1.4951924907934979</v>
      </c>
      <c r="V39" s="1">
        <v>0.65138343969980872</v>
      </c>
      <c r="W39" s="1">
        <v>0.16207759107513961</v>
      </c>
      <c r="X39" s="1">
        <v>5909013.8649980128</v>
      </c>
      <c r="Y39" s="1">
        <v>3333094.6595082902</v>
      </c>
      <c r="Z39" s="1">
        <v>0.21493509799999999</v>
      </c>
      <c r="AA39" s="1">
        <v>11.606495292</v>
      </c>
      <c r="AB39" s="1">
        <v>0.13677687999999999</v>
      </c>
      <c r="AC39" s="1">
        <v>7.385951519999999</v>
      </c>
      <c r="AD39" s="1">
        <v>0.20190872800000001</v>
      </c>
      <c r="AE39" s="1">
        <v>10.903071312</v>
      </c>
      <c r="AF39" s="1">
        <v>81.67</v>
      </c>
      <c r="AG39" s="1">
        <v>0</v>
      </c>
      <c r="AH39" s="1">
        <v>18.329999999999998</v>
      </c>
      <c r="AI39" s="1">
        <v>2.4889999999999999</v>
      </c>
      <c r="AJ39" s="1">
        <v>78.83</v>
      </c>
      <c r="AK39" s="1">
        <v>0</v>
      </c>
      <c r="AL39" s="1">
        <v>21.17</v>
      </c>
      <c r="AM39" s="1">
        <v>2.4910000000000001</v>
      </c>
      <c r="AN39" s="1">
        <v>78.59</v>
      </c>
      <c r="AO39" s="1">
        <v>0</v>
      </c>
      <c r="AP39" s="1">
        <v>21.41</v>
      </c>
      <c r="AQ39" s="1">
        <v>2.492</v>
      </c>
    </row>
    <row r="40" spans="1:43" x14ac:dyDescent="0.35">
      <c r="A40" t="s">
        <v>105</v>
      </c>
      <c r="B40" s="1" t="s">
        <v>39</v>
      </c>
      <c r="C40" s="1" t="str">
        <f>_xlfn.XLOOKUP(A40,'[1]Results Filtered'!$H:$H,'[1]Results Filtered'!$A:$A)</f>
        <v>Whole mAb</v>
      </c>
      <c r="D40" s="1" t="str">
        <f>_xlfn.XLOOKUP(A40,'[1]Results Filtered'!$H:$H,'[1]Results Filtered'!$B:$B)</f>
        <v>G1</v>
      </c>
      <c r="E40" s="1" t="str">
        <f>_xlfn.XLOOKUP(A40,'[1]Results Filtered'!$H:$H,'[1]Results Filtered'!$C:$C)</f>
        <v>Kappa</v>
      </c>
      <c r="F40" s="1" t="str">
        <f>_xlfn.XLOOKUP(A40,'[1]Results Filtered'!$H:$H,'[1]Results Filtered'!$D:$D)</f>
        <v>Respiratory Syncytial Virus</v>
      </c>
      <c r="G40" s="1"/>
      <c r="H40" s="1" t="str">
        <f>_xlfn.XLOOKUP(A40,'[1]Results Filtered'!$H:$H,'[1]Results Filtered'!$F:$F)</f>
        <v>Approved</v>
      </c>
      <c r="I40" s="1" t="str">
        <f>_xlfn.XLOOKUP(A40,'[1]Results Filtered'!$H:$H,'[1]Results Filtered'!$G:$G)</f>
        <v>AIMM Therapeutics;MedImmune</v>
      </c>
      <c r="J40" s="1" t="str">
        <f>_xlfn.XLOOKUP(A40,'[2]Monoclonals Final'!$A:$A,'[2]Monoclonals Final'!$F:$F)</f>
        <v>https://patents.google.com/patent/US10774133B2/en?oq=US+10774133</v>
      </c>
      <c r="K40" s="1" t="str">
        <f>_xlfn.XLOOKUP(A40,'[2]Monoclonals Final'!$A:$A,'[2]Monoclonals Final'!$G:$G)</f>
        <v>“FIG. 2 shows the MEDI8897 light chain nucleotide sequence (SEQ ID NO: 11) and amino acid translation (SEQ ID NO: 1).”“FIG. 1 shows the MEDI8897 heavy chain nucleotide sequence (SEQ ID NO: 12) and amino acid translation (SEQ ID NO: 2).”“The present invention provides a host cell comprising an expression vector… [and] a process for recombinantly producing [the antibody] comprising culturing the host cell…”“The present invention provides an expression vector comprising a nucleic acid according to the present invention. The present invention provides a host cell comprising an expression vector according to the present invention.”Although not stated, MedImmune/AstraZeneca historically uses:
Mammalian expression, especially CHO cells - CAI is 0.98 , almost certainly optimized for cho</v>
      </c>
      <c r="L40" s="5" t="s">
        <v>142</v>
      </c>
      <c r="M40" s="1">
        <v>13.235653063185469</v>
      </c>
      <c r="N40" s="1">
        <v>1.821</v>
      </c>
      <c r="O40" s="1">
        <v>1.82</v>
      </c>
      <c r="P40" s="1">
        <v>1.82</v>
      </c>
      <c r="Q40" s="1">
        <v>370.15246927755567</v>
      </c>
      <c r="R40" s="1">
        <v>188.12334150000862</v>
      </c>
      <c r="S40" s="1">
        <v>393.87432202692293</v>
      </c>
      <c r="T40" s="1">
        <v>3.4167285297333669</v>
      </c>
      <c r="U40" s="1">
        <v>1.3738216879986638</v>
      </c>
      <c r="V40" s="1">
        <v>0.69080228606859839</v>
      </c>
      <c r="W40" s="1">
        <v>0.24619621264815919</v>
      </c>
      <c r="X40" s="1">
        <v>2035503.1944522951</v>
      </c>
      <c r="Y40" s="1">
        <v>590815.56625508971</v>
      </c>
      <c r="Z40" s="1">
        <v>1.6168450400000001</v>
      </c>
      <c r="AA40" s="1">
        <v>87.309632160000007</v>
      </c>
      <c r="AB40" s="1">
        <v>1.4204059229999999</v>
      </c>
      <c r="AC40" s="1">
        <v>76.701919841999995</v>
      </c>
      <c r="AD40" s="1">
        <v>1.427961273</v>
      </c>
      <c r="AE40" s="1">
        <v>77.109908742000002</v>
      </c>
      <c r="AF40" s="1">
        <v>1.63</v>
      </c>
      <c r="AG40" s="1">
        <v>0</v>
      </c>
      <c r="AH40" s="1">
        <v>98.37</v>
      </c>
      <c r="AI40" s="1">
        <v>2.38</v>
      </c>
      <c r="AJ40" s="1">
        <v>1.55</v>
      </c>
      <c r="AK40" s="1">
        <v>0</v>
      </c>
      <c r="AL40" s="1">
        <v>98.45</v>
      </c>
      <c r="AM40" s="1">
        <v>2.38</v>
      </c>
      <c r="AN40" s="1">
        <v>1.81</v>
      </c>
      <c r="AO40" s="1">
        <v>0.01</v>
      </c>
      <c r="AP40" s="1">
        <v>98.19</v>
      </c>
      <c r="AQ40" s="1">
        <v>2.38</v>
      </c>
    </row>
    <row r="41" spans="1:43" x14ac:dyDescent="0.35">
      <c r="A41" t="s">
        <v>105</v>
      </c>
      <c r="B41" s="1" t="s">
        <v>40</v>
      </c>
      <c r="C41" s="1" t="str">
        <f>_xlfn.XLOOKUP(A41,'[1]Results Filtered'!$H:$H,'[1]Results Filtered'!$A:$A)</f>
        <v>Whole mAb</v>
      </c>
      <c r="D41" s="1" t="str">
        <f>_xlfn.XLOOKUP(A41,'[1]Results Filtered'!$H:$H,'[1]Results Filtered'!$B:$B)</f>
        <v>G1</v>
      </c>
      <c r="E41" s="1" t="str">
        <f>_xlfn.XLOOKUP(A41,'[1]Results Filtered'!$H:$H,'[1]Results Filtered'!$C:$C)</f>
        <v>Kappa</v>
      </c>
      <c r="F41" s="1" t="str">
        <f>_xlfn.XLOOKUP(A41,'[1]Results Filtered'!$H:$H,'[1]Results Filtered'!$D:$D)</f>
        <v>Respiratory Syncytial Virus</v>
      </c>
      <c r="G41" s="1"/>
      <c r="H41" s="1" t="str">
        <f>_xlfn.XLOOKUP(A41,'[1]Results Filtered'!$H:$H,'[1]Results Filtered'!$F:$F)</f>
        <v>Approved</v>
      </c>
      <c r="I41" s="1" t="str">
        <f>_xlfn.XLOOKUP(A41,'[1]Results Filtered'!$H:$H,'[1]Results Filtered'!$G:$G)</f>
        <v>AIMM Therapeutics;MedImmune</v>
      </c>
      <c r="J41" s="1" t="str">
        <f>_xlfn.XLOOKUP(A41,'[2]Monoclonals Final'!$A:$A,'[2]Monoclonals Final'!$F:$F)</f>
        <v>https://patents.google.com/patent/US10774133B2/en?oq=US+10774133</v>
      </c>
      <c r="K41" s="1" t="str">
        <f>_xlfn.XLOOKUP(A41,'[2]Monoclonals Final'!$A:$A,'[2]Monoclonals Final'!$G:$G)</f>
        <v>“FIG. 2 shows the MEDI8897 light chain nucleotide sequence (SEQ ID NO: 11) and amino acid translation (SEQ ID NO: 1).”“FIG. 1 shows the MEDI8897 heavy chain nucleotide sequence (SEQ ID NO: 12) and amino acid translation (SEQ ID NO: 2).”“The present invention provides a host cell comprising an expression vector… [and] a process for recombinantly producing [the antibody] comprising culturing the host cell…”“The present invention provides an expression vector comprising a nucleic acid according to the present invention. The present invention provides a host cell comprising an expression vector according to the present invention.”Although not stated, MedImmune/AstraZeneca historically uses:
Mammalian expression, especially CHO cells - CAI is 0.98 , almost certainly optimized for cho</v>
      </c>
      <c r="L41" s="5" t="s">
        <v>142</v>
      </c>
      <c r="M41" s="1">
        <v>13.235653063185469</v>
      </c>
      <c r="N41" s="1">
        <v>1.82</v>
      </c>
      <c r="O41" s="1">
        <v>1.82</v>
      </c>
      <c r="P41" s="1">
        <v>1.821</v>
      </c>
      <c r="Q41" s="1">
        <v>274.89485321911212</v>
      </c>
      <c r="R41" s="1">
        <v>134.73751388483009</v>
      </c>
      <c r="S41" s="1">
        <v>283.57972380885548</v>
      </c>
      <c r="T41" s="1">
        <v>4.0534655632029626</v>
      </c>
      <c r="U41" s="1">
        <v>1.6034420700270955</v>
      </c>
      <c r="V41" s="1">
        <v>0.58312649528185523</v>
      </c>
      <c r="W41" s="1">
        <v>0.36181174007722799</v>
      </c>
      <c r="X41" s="1">
        <v>2748588.0542875067</v>
      </c>
      <c r="Y41" s="1">
        <v>760641.74289944989</v>
      </c>
      <c r="Z41" s="1">
        <v>1.5186254809999999</v>
      </c>
      <c r="AA41" s="1">
        <v>82.005775974000002</v>
      </c>
      <c r="AB41" s="1">
        <v>1.375073819</v>
      </c>
      <c r="AC41" s="1">
        <v>74.253986225999995</v>
      </c>
      <c r="AD41" s="1">
        <v>1.412850572</v>
      </c>
      <c r="AE41" s="1">
        <v>76.293930888000006</v>
      </c>
      <c r="AF41" s="1">
        <v>1.1599999999999999</v>
      </c>
      <c r="AG41" s="1">
        <v>0</v>
      </c>
      <c r="AH41" s="1">
        <v>98.84</v>
      </c>
      <c r="AI41" s="1">
        <v>2.38</v>
      </c>
      <c r="AJ41" s="1">
        <v>1.26</v>
      </c>
      <c r="AK41" s="1">
        <v>0</v>
      </c>
      <c r="AL41" s="1">
        <v>98.74</v>
      </c>
      <c r="AM41" s="1">
        <v>2.38</v>
      </c>
      <c r="AN41" s="1">
        <v>1.5</v>
      </c>
      <c r="AO41" s="1">
        <v>0</v>
      </c>
      <c r="AP41" s="1">
        <v>98.5</v>
      </c>
      <c r="AQ41" s="1">
        <v>2.38</v>
      </c>
    </row>
    <row r="42" spans="1:43" x14ac:dyDescent="0.35">
      <c r="A42" t="s">
        <v>106</v>
      </c>
      <c r="B42" s="1" t="s">
        <v>41</v>
      </c>
      <c r="C42" s="1" t="str">
        <f>_xlfn.XLOOKUP(A42,'[1]Results Filtered'!$H:$H,'[1]Results Filtered'!$A:$A)</f>
        <v>Whole mAb Fusion</v>
      </c>
      <c r="D42" s="1" t="str">
        <f>_xlfn.XLOOKUP(A42,'[1]Results Filtered'!$H:$H,'[1]Results Filtered'!$B:$B)</f>
        <v>G1</v>
      </c>
      <c r="E42" s="1" t="str">
        <f>_xlfn.XLOOKUP(A42,'[1]Results Filtered'!$H:$H,'[1]Results Filtered'!$C:$C)</f>
        <v>Kappa</v>
      </c>
      <c r="F42" s="1" t="str">
        <f>_xlfn.XLOOKUP(A42,'[1]Results Filtered'!$H:$H,'[1]Results Filtered'!$D:$D)</f>
        <v>TFRC/CD71</v>
      </c>
      <c r="G42" s="1" t="str">
        <f>_xlfn.XLOOKUP(A42,'[1]Results Filtered'!$H:$H,'[1]Results Filtered'!$E:$E)</f>
        <v>IgG with iduronate-2-sulfatase (IDS) fused to c term on antibody heavy chian</v>
      </c>
      <c r="H42" s="1" t="str">
        <f>_xlfn.XLOOKUP(A42,'[1]Results Filtered'!$H:$H,'[1]Results Filtered'!$F:$F)</f>
        <v>Approved</v>
      </c>
      <c r="I42" s="1" t="str">
        <f>_xlfn.XLOOKUP(A42,'[1]Results Filtered'!$H:$H,'[1]Results Filtered'!$G:$G)</f>
        <v>JCR Pharmaceuticals</v>
      </c>
      <c r="J42" s="1" t="s">
        <v>121</v>
      </c>
      <c r="K42" s="3" t="s">
        <v>122</v>
      </c>
      <c r="L42" s="7" t="s">
        <v>143</v>
      </c>
      <c r="M42" s="1">
        <v>14.431244740268962</v>
      </c>
      <c r="N42" s="1">
        <v>1.8140000000000001</v>
      </c>
      <c r="O42" s="1">
        <v>1.8120000000000001</v>
      </c>
      <c r="P42" s="1">
        <v>1.8169999999999999</v>
      </c>
      <c r="Q42" s="1">
        <v>40.339128718470512</v>
      </c>
      <c r="R42" s="1">
        <v>24.177999646103778</v>
      </c>
      <c r="S42" s="1">
        <v>30.138454945747078</v>
      </c>
      <c r="T42" s="1">
        <v>8.2035282270946173</v>
      </c>
      <c r="U42" s="1">
        <v>1.5720125328697716</v>
      </c>
      <c r="V42" s="1">
        <v>0.34721141060193378</v>
      </c>
      <c r="W42" s="1">
        <v>9.2496233595309785E-2</v>
      </c>
      <c r="X42" s="1">
        <v>5969731.5688500516</v>
      </c>
      <c r="Y42" s="1">
        <v>789583.55895112071</v>
      </c>
      <c r="Z42" s="1">
        <v>0.52663509900000005</v>
      </c>
      <c r="AA42" s="1">
        <v>28.438295346000004</v>
      </c>
      <c r="AB42" s="1">
        <v>0.436552779</v>
      </c>
      <c r="AC42" s="1">
        <v>23.573850065999999</v>
      </c>
      <c r="AD42" s="1">
        <v>0.58899978200000003</v>
      </c>
      <c r="AE42" s="1">
        <v>31.805988228</v>
      </c>
      <c r="AF42" s="1">
        <v>0.14000000000000001</v>
      </c>
      <c r="AG42" s="1">
        <v>0.01</v>
      </c>
      <c r="AH42" s="1">
        <v>99.85</v>
      </c>
      <c r="AI42" s="1">
        <v>2.0099999999999998</v>
      </c>
      <c r="AJ42" s="1">
        <v>0.08</v>
      </c>
      <c r="AK42" s="1">
        <v>0.24</v>
      </c>
      <c r="AL42" s="1">
        <v>99.67</v>
      </c>
      <c r="AM42" s="1">
        <v>2</v>
      </c>
      <c r="AN42" s="1">
        <v>0.09</v>
      </c>
      <c r="AO42" s="1">
        <v>0.01</v>
      </c>
      <c r="AP42" s="1">
        <v>99.9</v>
      </c>
      <c r="AQ42" s="1">
        <v>2.02</v>
      </c>
    </row>
    <row r="43" spans="1:43" x14ac:dyDescent="0.35">
      <c r="A43" t="s">
        <v>106</v>
      </c>
      <c r="B43" s="1" t="s">
        <v>42</v>
      </c>
      <c r="C43" s="1" t="str">
        <f>_xlfn.XLOOKUP(A43,'[1]Results Filtered'!$H:$H,'[1]Results Filtered'!$A:$A)</f>
        <v>Whole mAb Fusion</v>
      </c>
      <c r="D43" s="1" t="str">
        <f>_xlfn.XLOOKUP(A43,'[1]Results Filtered'!$H:$H,'[1]Results Filtered'!$B:$B)</f>
        <v>G1</v>
      </c>
      <c r="E43" s="1" t="str">
        <f>_xlfn.XLOOKUP(A43,'[1]Results Filtered'!$H:$H,'[1]Results Filtered'!$C:$C)</f>
        <v>Kappa</v>
      </c>
      <c r="F43" s="1" t="str">
        <f>_xlfn.XLOOKUP(A43,'[1]Results Filtered'!$H:$H,'[1]Results Filtered'!$D:$D)</f>
        <v>TFRC/CD71</v>
      </c>
      <c r="G43" s="1" t="str">
        <f>_xlfn.XLOOKUP(A43,'[1]Results Filtered'!$H:$H,'[1]Results Filtered'!$E:$E)</f>
        <v>IgG with iduronate-2-sulfatase (IDS) fused to c term on antibody heavy chian</v>
      </c>
      <c r="H43" s="1" t="str">
        <f>_xlfn.XLOOKUP(A43,'[1]Results Filtered'!$H:$H,'[1]Results Filtered'!$F:$F)</f>
        <v>Approved</v>
      </c>
      <c r="I43" s="1" t="str">
        <f>_xlfn.XLOOKUP(A43,'[1]Results Filtered'!$H:$H,'[1]Results Filtered'!$G:$G)</f>
        <v>JCR Pharmaceuticals</v>
      </c>
      <c r="J43" s="1" t="s">
        <v>121</v>
      </c>
      <c r="K43" s="3" t="s">
        <v>122</v>
      </c>
      <c r="L43" s="7" t="s">
        <v>143</v>
      </c>
      <c r="M43" s="1">
        <v>14.431244740268962</v>
      </c>
      <c r="N43" s="1">
        <v>1.8140000000000001</v>
      </c>
      <c r="O43" s="1">
        <v>1.8120000000000001</v>
      </c>
      <c r="P43" s="1">
        <v>1.8140000000000001</v>
      </c>
      <c r="Q43" s="1">
        <v>53.962603211915038</v>
      </c>
      <c r="R43" s="1">
        <v>33.862766604169515</v>
      </c>
      <c r="S43" s="1">
        <v>54.307207542370143</v>
      </c>
      <c r="T43" s="1">
        <v>8.7228212800975289</v>
      </c>
      <c r="U43" s="1">
        <v>1.2217148858878595</v>
      </c>
      <c r="V43" s="1">
        <v>0.46827149391174316</v>
      </c>
      <c r="W43" s="1">
        <v>0.13458124909603597</v>
      </c>
      <c r="X43" s="1">
        <v>5366868.4446441764</v>
      </c>
      <c r="Y43" s="1">
        <v>2246345.8408892732</v>
      </c>
      <c r="Z43" s="1">
        <v>0.69294091999999996</v>
      </c>
      <c r="AA43" s="1">
        <v>37.418809679999995</v>
      </c>
      <c r="AB43" s="1">
        <v>0.55435273600000001</v>
      </c>
      <c r="AC43" s="1">
        <v>29.935047744000002</v>
      </c>
      <c r="AD43" s="1">
        <v>0.67908210099999999</v>
      </c>
      <c r="AE43" s="1">
        <v>36.670433453999998</v>
      </c>
      <c r="AF43" s="1">
        <v>0.08</v>
      </c>
      <c r="AG43" s="1">
        <v>0.01</v>
      </c>
      <c r="AH43" s="1">
        <v>99.91</v>
      </c>
      <c r="AI43" s="1">
        <v>2.0099999999999998</v>
      </c>
      <c r="AJ43" s="1">
        <v>0.06</v>
      </c>
      <c r="AK43" s="1">
        <v>1.86</v>
      </c>
      <c r="AL43" s="1">
        <v>98.08</v>
      </c>
      <c r="AM43" s="1">
        <v>2.0099999999999998</v>
      </c>
      <c r="AN43" s="1">
        <v>0.08</v>
      </c>
      <c r="AO43" s="1">
        <v>0.06</v>
      </c>
      <c r="AP43" s="1">
        <v>99.86</v>
      </c>
      <c r="AQ43" s="1">
        <v>2.02</v>
      </c>
    </row>
    <row r="44" spans="1:43" x14ac:dyDescent="0.35">
      <c r="A44" t="s">
        <v>107</v>
      </c>
      <c r="B44" s="1" t="s">
        <v>43</v>
      </c>
      <c r="C44" s="1" t="str">
        <f>_xlfn.XLOOKUP(A44,'[1]Results Filtered'!$H:$H,'[1]Results Filtered'!$A:$A)</f>
        <v>Whole mAb</v>
      </c>
      <c r="D44" s="1" t="str">
        <f>_xlfn.XLOOKUP(A44,'[1]Results Filtered'!$H:$H,'[1]Results Filtered'!$B:$B)</f>
        <v>G4</v>
      </c>
      <c r="E44" s="1" t="str">
        <f>_xlfn.XLOOKUP(A44,'[1]Results Filtered'!$H:$H,'[1]Results Filtered'!$C:$C)</f>
        <v>Kappa</v>
      </c>
      <c r="F44" s="1" t="str">
        <f>_xlfn.XLOOKUP(A44,'[1]Results Filtered'!$H:$H,'[1]Results Filtered'!$D:$D)</f>
        <v>PDCD1/CD279/PD1</v>
      </c>
      <c r="G44" s="1"/>
      <c r="H44" s="1" t="str">
        <f>_xlfn.XLOOKUP(A44,'[1]Results Filtered'!$H:$H,'[1]Results Filtered'!$F:$F)</f>
        <v>Approved</v>
      </c>
      <c r="I44" s="1" t="str">
        <f>_xlfn.XLOOKUP(A44,'[1]Results Filtered'!$H:$H,'[1]Results Filtered'!$G:$G)</f>
        <v>Henlix Biotech;Shanghai Henlius Biotech</v>
      </c>
      <c r="J44" s="1" t="str">
        <f>_xlfn.XLOOKUP(A44,'[2]Monoclonals Final'!$A:$A,'[2]Monoclonals Final'!$F:$F)</f>
        <v>https://patents.google.com/patent/US11028173B2/en?oq=JP+2020501598</v>
      </c>
      <c r="K44" s="1" t="str">
        <f>_xlfn.XLOOKUP(A44,'[2]Monoclonals Final'!$A:$A,'[2]Monoclonals Final'!$G:$G)</f>
        <v>“Cells comprising the nucleic acid molecules are also contemplated … In some embodiments … the cell is a mammalian cell. In some embodiments … the mammalian cell is a CHO cell. In some embodiments … the cell is a stable mammalian cell line.”“SEQ ID NO: 5 (DNA, length 642) … encodes the light chain variable domain (VL) of the anti‑PD‑1 antibody.”“SEQ ID NO: 7—synthetic polynucleotide, DNA, length: 1329, artificial sequence; full sequence provided, used for anti‑PD‑1 antibody engineering.”“Cells comprising the nucleic acid molecules are also contemplated … In some embodiments … the cell is a mammalian cell. In some embodiments … the mammalian cell is a CHO cell. In some embodiments … the cell is a stable mammalian cell line.”“In certain embodiments, an anti‑PD‑1 antibody … is expressed by a stable mammalian cell line … the stable mammalian cell line is a CHO cell line.”</v>
      </c>
      <c r="L44" s="5" t="s">
        <v>144</v>
      </c>
      <c r="M44" s="1">
        <v>14.98784633915659</v>
      </c>
      <c r="N44" s="1">
        <v>1.919</v>
      </c>
      <c r="O44" s="1">
        <v>1.919</v>
      </c>
      <c r="P44" s="1">
        <v>1.919</v>
      </c>
      <c r="Q44" s="1">
        <v>497.05587805158751</v>
      </c>
      <c r="R44" s="1">
        <v>507.83767415352389</v>
      </c>
      <c r="S44" s="1">
        <v>580.63784762027444</v>
      </c>
      <c r="T44" s="1">
        <v>4.5021776677126963</v>
      </c>
      <c r="U44" s="1">
        <v>1.5612573435912194</v>
      </c>
      <c r="V44" s="1">
        <v>0.59346107641855872</v>
      </c>
      <c r="W44" s="1">
        <v>0.3392691666935721</v>
      </c>
      <c r="X44" s="1">
        <v>2377002.8865041863</v>
      </c>
      <c r="Y44" s="1">
        <v>652711.22897959757</v>
      </c>
      <c r="Z44" s="1">
        <v>2.4353065260000002</v>
      </c>
      <c r="AA44" s="1">
        <v>131.50655240400002</v>
      </c>
      <c r="AB44" s="1">
        <v>2.241816418</v>
      </c>
      <c r="AC44" s="1">
        <v>121.05808657199999</v>
      </c>
      <c r="AD44" s="1">
        <v>2.3152092180000001</v>
      </c>
      <c r="AE44" s="1">
        <v>125.02129777200001</v>
      </c>
      <c r="AF44" s="1">
        <v>25.73</v>
      </c>
      <c r="AG44" s="1">
        <v>0</v>
      </c>
      <c r="AH44" s="1">
        <v>74.27</v>
      </c>
      <c r="AI44" s="1">
        <v>2.5299999999999998</v>
      </c>
      <c r="AJ44" s="1">
        <v>27.88</v>
      </c>
      <c r="AK44" s="1">
        <v>0</v>
      </c>
      <c r="AL44" s="1">
        <v>72.12</v>
      </c>
      <c r="AM44" s="1">
        <v>2.5299999999999998</v>
      </c>
      <c r="AN44" s="1">
        <v>19.79</v>
      </c>
      <c r="AO44" s="1">
        <v>0</v>
      </c>
      <c r="AP44" s="1">
        <v>80.209999999999994</v>
      </c>
      <c r="AQ44" s="1">
        <v>2.5299999999999998</v>
      </c>
    </row>
    <row r="45" spans="1:43" x14ac:dyDescent="0.35">
      <c r="A45" t="s">
        <v>107</v>
      </c>
      <c r="B45" s="1" t="s">
        <v>44</v>
      </c>
      <c r="C45" s="1" t="str">
        <f>_xlfn.XLOOKUP(A45,'[1]Results Filtered'!$H:$H,'[1]Results Filtered'!$A:$A)</f>
        <v>Whole mAb</v>
      </c>
      <c r="D45" s="1" t="str">
        <f>_xlfn.XLOOKUP(A45,'[1]Results Filtered'!$H:$H,'[1]Results Filtered'!$B:$B)</f>
        <v>G4</v>
      </c>
      <c r="E45" s="1" t="str">
        <f>_xlfn.XLOOKUP(A45,'[1]Results Filtered'!$H:$H,'[1]Results Filtered'!$C:$C)</f>
        <v>Kappa</v>
      </c>
      <c r="F45" s="1" t="str">
        <f>_xlfn.XLOOKUP(A45,'[1]Results Filtered'!$H:$H,'[1]Results Filtered'!$D:$D)</f>
        <v>PDCD1/CD279/PD1</v>
      </c>
      <c r="G45" s="1"/>
      <c r="H45" s="1" t="str">
        <f>_xlfn.XLOOKUP(A45,'[1]Results Filtered'!$H:$H,'[1]Results Filtered'!$F:$F)</f>
        <v>Approved</v>
      </c>
      <c r="I45" s="1" t="str">
        <f>_xlfn.XLOOKUP(A45,'[1]Results Filtered'!$H:$H,'[1]Results Filtered'!$G:$G)</f>
        <v>Henlix Biotech;Shanghai Henlius Biotech</v>
      </c>
      <c r="J45" s="1" t="str">
        <f>_xlfn.XLOOKUP(A45,'[2]Monoclonals Final'!$A:$A,'[2]Monoclonals Final'!$F:$F)</f>
        <v>https://patents.google.com/patent/US11028173B2/en?oq=JP+2020501598</v>
      </c>
      <c r="K45" s="1" t="str">
        <f>_xlfn.XLOOKUP(A45,'[2]Monoclonals Final'!$A:$A,'[2]Monoclonals Final'!$G:$G)</f>
        <v>“Cells comprising the nucleic acid molecules are also contemplated … In some embodiments … the cell is a mammalian cell. In some embodiments … the mammalian cell is a CHO cell. In some embodiments … the cell is a stable mammalian cell line.”“SEQ ID NO: 5 (DNA, length 642) … encodes the light chain variable domain (VL) of the anti‑PD‑1 antibody.”“SEQ ID NO: 7—synthetic polynucleotide, DNA, length: 1329, artificial sequence; full sequence provided, used for anti‑PD‑1 antibody engineering.”“Cells comprising the nucleic acid molecules are also contemplated … In some embodiments … the cell is a mammalian cell. In some embodiments … the mammalian cell is a CHO cell. In some embodiments … the cell is a stable mammalian cell line.”“In certain embodiments, an anti‑PD‑1 antibody … is expressed by a stable mammalian cell line … the stable mammalian cell line is a CHO cell line.”</v>
      </c>
      <c r="L45" s="5" t="s">
        <v>144</v>
      </c>
      <c r="M45" s="1">
        <v>14.98784633915659</v>
      </c>
      <c r="N45" s="1">
        <v>1.92</v>
      </c>
      <c r="O45" s="1">
        <v>1.919</v>
      </c>
      <c r="P45" s="1" t="e">
        <v>#N/A</v>
      </c>
      <c r="Q45" s="1">
        <v>372.13291863206035</v>
      </c>
      <c r="R45" s="1">
        <v>442.35636404375094</v>
      </c>
      <c r="S45" s="1">
        <v>434.22620348045751</v>
      </c>
      <c r="T45" s="1">
        <v>4.8981995496670079</v>
      </c>
      <c r="U45" s="1">
        <v>1.1757453189321896</v>
      </c>
      <c r="V45" s="1">
        <v>0.41918957233428955</v>
      </c>
      <c r="W45" s="1">
        <v>0.24228061223570105</v>
      </c>
      <c r="X45" s="1">
        <v>2864293.095236449</v>
      </c>
      <c r="Y45" s="1">
        <v>793366.96865367796</v>
      </c>
      <c r="Z45" s="1">
        <v>2.4152903079999999</v>
      </c>
      <c r="AA45" s="1">
        <v>130.42567663200001</v>
      </c>
      <c r="AB45" s="1">
        <v>2.241816418</v>
      </c>
      <c r="AC45" s="1">
        <v>121.05808657199999</v>
      </c>
      <c r="AD45" s="1">
        <v>2.2685047090000001</v>
      </c>
      <c r="AE45" s="1">
        <v>122.49925428600001</v>
      </c>
      <c r="AF45" s="1">
        <v>20.5</v>
      </c>
      <c r="AG45" s="1">
        <v>0</v>
      </c>
      <c r="AH45" s="1">
        <v>79.5</v>
      </c>
      <c r="AI45" s="1">
        <v>2.5299999999999998</v>
      </c>
      <c r="AJ45" s="1">
        <v>27.8</v>
      </c>
      <c r="AK45" s="1">
        <v>0</v>
      </c>
      <c r="AL45" s="1">
        <v>72.2</v>
      </c>
      <c r="AM45" s="1">
        <v>2.5299999999999998</v>
      </c>
      <c r="AN45" s="1">
        <v>21.11</v>
      </c>
      <c r="AO45" s="1">
        <v>0</v>
      </c>
      <c r="AP45" s="1">
        <v>78.89</v>
      </c>
      <c r="AQ45" s="1">
        <v>2.54</v>
      </c>
    </row>
    <row r="46" spans="1:43" x14ac:dyDescent="0.35">
      <c r="A46" t="s">
        <v>108</v>
      </c>
      <c r="B46" s="1" t="s">
        <v>45</v>
      </c>
      <c r="C46" s="1" t="str">
        <f>_xlfn.XLOOKUP(A46,'[1]Results Filtered'!$H:$H,'[1]Results Filtered'!$A:$A)</f>
        <v>Whole mAb</v>
      </c>
      <c r="D46" s="1" t="str">
        <f>_xlfn.XLOOKUP(A46,'[1]Results Filtered'!$H:$H,'[1]Results Filtered'!$B:$B)</f>
        <v>G1</v>
      </c>
      <c r="E46" s="1" t="str">
        <f>_xlfn.XLOOKUP(A46,'[1]Results Filtered'!$H:$H,'[1]Results Filtered'!$C:$C)</f>
        <v>Kappa</v>
      </c>
      <c r="F46" s="1" t="str">
        <f>_xlfn.XLOOKUP(A46,'[1]Results Filtered'!$H:$H,'[1]Results Filtered'!$D:$D)</f>
        <v>ITGA4B7</v>
      </c>
      <c r="G46" s="1"/>
      <c r="H46" s="1" t="str">
        <f>_xlfn.XLOOKUP(A46,'[1]Results Filtered'!$H:$H,'[1]Results Filtered'!$F:$F)</f>
        <v>Approved</v>
      </c>
      <c r="I46" s="1" t="str">
        <f>_xlfn.XLOOKUP(A46,'[1]Results Filtered'!$H:$H,'[1]Results Filtered'!$G:$G)</f>
        <v>Medical College of Wisconsin;Millennium Pharmaceuticals;Takeda;Takeda Oncology</v>
      </c>
      <c r="J46" s="1" t="str">
        <f>_xlfn.XLOOKUP(A46,'[2]Monoclonals Final'!$A:$A,'[2]Monoclonals Final'!$F:$F)</f>
        <v>https://patents.google.com/patent/US20220267448A1/en?oq=US17596418</v>
      </c>
      <c r="K46" s="1" t="str">
        <f>_xlfn.XLOOKUP(A46,'[2]Monoclonals Final'!$A:$A,'[2]Monoclonals Final'!$G:$G)</f>
        <v>“A full length nucleic acid sequence encoding the light chain of vedolizumab is set forth as SEQ ID NO:11.”“A full length nucleic acid sequence encoding the heavy chain of vedolizumab is set forth as SEQ ID NO:12.”“In some embodiments of the above aspects, the mammalian host cell is a Chinese Hamster Ovary (CHO) cell. In certain embodiments, the CHO cell is a GS‑CHO cell.”“The present invention relates to methods and compositions for producing an anti‑α4β7 antibody in mammalian host cells.”“The host cell is genetically engineered to express a humanized anti‑α4β7 antibody… comprising SEQ ID NO:11 (light chain) and SEQ ID NO:12 (heavy chain).”“In some embodiments, the host cell comprises a nucleic acid set forth in SEQ ID NO:11… and SEQ ID NO:12.”</v>
      </c>
      <c r="L46" s="5" t="s">
        <v>142</v>
      </c>
      <c r="M46" s="1">
        <v>15.094071663938299</v>
      </c>
      <c r="N46" s="1">
        <v>1.8859999999999999</v>
      </c>
      <c r="O46" s="1">
        <v>1.8859999999999999</v>
      </c>
      <c r="P46" s="1">
        <v>1.8879999999999999</v>
      </c>
      <c r="Q46" s="1">
        <v>297.98981085464084</v>
      </c>
      <c r="R46" s="1">
        <v>194.35437197063422</v>
      </c>
      <c r="S46" s="1">
        <v>288.55412644758599</v>
      </c>
      <c r="T46" s="1">
        <v>4.4193781967294399</v>
      </c>
      <c r="U46" s="1">
        <v>0.37611212627643126</v>
      </c>
      <c r="V46" s="1">
        <v>0.3682759354511897</v>
      </c>
      <c r="W46" s="1">
        <v>0.15076335806365443</v>
      </c>
      <c r="X46" s="1">
        <v>2866460.7830773345</v>
      </c>
      <c r="Y46" s="1">
        <v>256920.90166775638</v>
      </c>
      <c r="Z46" s="1">
        <v>2.3717921049999999</v>
      </c>
      <c r="AA46" s="1">
        <v>128.07677366999999</v>
      </c>
      <c r="AB46" s="1">
        <v>2.0670366950000001</v>
      </c>
      <c r="AC46" s="1">
        <v>111.61998153</v>
      </c>
      <c r="AD46" s="1">
        <v>2.1200376350000001</v>
      </c>
      <c r="AE46" s="1">
        <v>114.48203229000001</v>
      </c>
      <c r="AF46" s="1">
        <v>2.0299999999999998</v>
      </c>
      <c r="AG46" s="1">
        <v>0</v>
      </c>
      <c r="AH46" s="1">
        <v>97.97</v>
      </c>
      <c r="AI46" s="1">
        <v>2.54</v>
      </c>
      <c r="AJ46" s="1">
        <v>2.04</v>
      </c>
      <c r="AK46" s="1">
        <v>0</v>
      </c>
      <c r="AL46" s="1">
        <v>97.96</v>
      </c>
      <c r="AM46" s="1">
        <v>2.54</v>
      </c>
      <c r="AN46" s="1">
        <v>2.46</v>
      </c>
      <c r="AO46" s="1">
        <v>0</v>
      </c>
      <c r="AP46" s="1">
        <v>97.54</v>
      </c>
      <c r="AQ46" s="1">
        <v>2.54</v>
      </c>
    </row>
    <row r="47" spans="1:43" x14ac:dyDescent="0.35">
      <c r="A47" t="s">
        <v>108</v>
      </c>
      <c r="B47" s="1" t="s">
        <v>46</v>
      </c>
      <c r="C47" s="1" t="str">
        <f>_xlfn.XLOOKUP(A47,'[1]Results Filtered'!$H:$H,'[1]Results Filtered'!$A:$A)</f>
        <v>Whole mAb</v>
      </c>
      <c r="D47" s="1" t="str">
        <f>_xlfn.XLOOKUP(A47,'[1]Results Filtered'!$H:$H,'[1]Results Filtered'!$B:$B)</f>
        <v>G1</v>
      </c>
      <c r="E47" s="1" t="str">
        <f>_xlfn.XLOOKUP(A47,'[1]Results Filtered'!$H:$H,'[1]Results Filtered'!$C:$C)</f>
        <v>Kappa</v>
      </c>
      <c r="F47" s="1" t="str">
        <f>_xlfn.XLOOKUP(A47,'[1]Results Filtered'!$H:$H,'[1]Results Filtered'!$D:$D)</f>
        <v>ITGA4B7</v>
      </c>
      <c r="G47" s="1"/>
      <c r="H47" s="1" t="str">
        <f>_xlfn.XLOOKUP(A47,'[1]Results Filtered'!$H:$H,'[1]Results Filtered'!$F:$F)</f>
        <v>Approved</v>
      </c>
      <c r="I47" s="1" t="str">
        <f>_xlfn.XLOOKUP(A47,'[1]Results Filtered'!$H:$H,'[1]Results Filtered'!$G:$G)</f>
        <v>Medical College of Wisconsin;Millennium Pharmaceuticals;Takeda;Takeda Oncology</v>
      </c>
      <c r="J47" s="1" t="str">
        <f>_xlfn.XLOOKUP(A47,'[2]Monoclonals Final'!$A:$A,'[2]Monoclonals Final'!$F:$F)</f>
        <v>https://patents.google.com/patent/US20220267448A1/en?oq=US17596418</v>
      </c>
      <c r="K47" s="1" t="str">
        <f>_xlfn.XLOOKUP(A47,'[2]Monoclonals Final'!$A:$A,'[2]Monoclonals Final'!$G:$G)</f>
        <v>“A full length nucleic acid sequence encoding the light chain of vedolizumab is set forth as SEQ ID NO:11.”“A full length nucleic acid sequence encoding the heavy chain of vedolizumab is set forth as SEQ ID NO:12.”“In some embodiments of the above aspects, the mammalian host cell is a Chinese Hamster Ovary (CHO) cell. In certain embodiments, the CHO cell is a GS‑CHO cell.”“The present invention relates to methods and compositions for producing an anti‑α4β7 antibody in mammalian host cells.”“The host cell is genetically engineered to express a humanized anti‑α4β7 antibody… comprising SEQ ID NO:11 (light chain) and SEQ ID NO:12 (heavy chain).”“In some embodiments, the host cell comprises a nucleic acid set forth in SEQ ID NO:11… and SEQ ID NO:12.”</v>
      </c>
      <c r="L47" s="5" t="s">
        <v>142</v>
      </c>
      <c r="M47" s="1">
        <v>15.094071663938299</v>
      </c>
      <c r="N47" s="1">
        <v>1.8859999999999999</v>
      </c>
      <c r="O47" s="1">
        <v>1.8859999999999999</v>
      </c>
      <c r="P47" s="1">
        <v>1.8879999999999999</v>
      </c>
      <c r="Q47" s="1">
        <v>233.86298505647198</v>
      </c>
      <c r="R47" s="1">
        <v>158.72940823992681</v>
      </c>
      <c r="S47" s="1">
        <v>227.80855003962785</v>
      </c>
      <c r="T47" s="1">
        <v>3.3548877749941162</v>
      </c>
      <c r="U47" s="1">
        <v>1.0927334413925436</v>
      </c>
      <c r="V47" s="1">
        <v>0.64224555095036828</v>
      </c>
      <c r="W47" s="1">
        <v>0.39539374277700789</v>
      </c>
      <c r="X47" s="1">
        <v>1874720.3010382496</v>
      </c>
      <c r="Y47" s="1">
        <v>552129.873310489</v>
      </c>
      <c r="Z47" s="1">
        <v>2.3916674580000001</v>
      </c>
      <c r="AA47" s="1">
        <v>129.150042732</v>
      </c>
      <c r="AB47" s="1">
        <v>2.0405362239999998</v>
      </c>
      <c r="AC47" s="1">
        <v>110.18895609599998</v>
      </c>
      <c r="AD47" s="1">
        <v>2.1332878709999998</v>
      </c>
      <c r="AE47" s="1">
        <v>115.19754503399999</v>
      </c>
      <c r="AF47" s="1">
        <v>1.49</v>
      </c>
      <c r="AG47" s="1">
        <v>0</v>
      </c>
      <c r="AH47" s="1">
        <v>98.51</v>
      </c>
      <c r="AI47" s="1">
        <v>2.54</v>
      </c>
      <c r="AJ47" s="1">
        <v>1.35</v>
      </c>
      <c r="AK47" s="1">
        <v>0</v>
      </c>
      <c r="AL47" s="1">
        <v>98.65</v>
      </c>
      <c r="AM47" s="1">
        <v>2.54</v>
      </c>
      <c r="AN47" s="1">
        <v>1.68</v>
      </c>
      <c r="AO47" s="1">
        <v>0</v>
      </c>
      <c r="AP47" s="1">
        <v>98.32</v>
      </c>
      <c r="AQ47" s="1">
        <v>2.54</v>
      </c>
    </row>
    <row r="48" spans="1:43" x14ac:dyDescent="0.35">
      <c r="A48" t="s">
        <v>109</v>
      </c>
      <c r="B48" s="1" t="s">
        <v>47</v>
      </c>
      <c r="C48" s="1" t="str">
        <f>_xlfn.XLOOKUP(A48,'[1]Results Filtered'!$H:$H,'[1]Results Filtered'!$A:$A)</f>
        <v>Whole mAb Fusion</v>
      </c>
      <c r="D48" s="1" t="str">
        <f>_xlfn.XLOOKUP(A48,'[1]Results Filtered'!$H:$H,'[1]Results Filtered'!$B:$B)</f>
        <v>G1</v>
      </c>
      <c r="E48" s="1" t="str">
        <f>_xlfn.XLOOKUP(A48,'[1]Results Filtered'!$H:$H,'[1]Results Filtered'!$C:$C)</f>
        <v>Kappa</v>
      </c>
      <c r="F48" s="1" t="str">
        <f>_xlfn.XLOOKUP(A48,'[1]Results Filtered'!$H:$H,'[1]Results Filtered'!$D:$D)</f>
        <v>SIRPA</v>
      </c>
      <c r="G48" s="1"/>
      <c r="H48" s="1" t="str">
        <f>_xlfn.XLOOKUP(A48,'[1]Results Filtered'!$H:$H,'[1]Results Filtered'!$F:$F)</f>
        <v>Phase-I/II</v>
      </c>
      <c r="I48" s="1" t="str">
        <f>_xlfn.XLOOKUP(A48,'[1]Results Filtered'!$H:$H,'[1]Results Filtered'!$G:$G)</f>
        <v>ImmuneOnco Biopharma</v>
      </c>
      <c r="J48" s="1" t="s">
        <v>123</v>
      </c>
      <c r="K48" s="2" t="s">
        <v>124</v>
      </c>
      <c r="L48" s="6" t="s">
        <v>145</v>
      </c>
      <c r="M48" s="1">
        <v>12.89970423563436</v>
      </c>
      <c r="N48" s="1">
        <v>1.946</v>
      </c>
      <c r="O48" s="1">
        <v>1.948</v>
      </c>
      <c r="P48" s="1">
        <v>1.9450000000000001</v>
      </c>
      <c r="Q48" s="1">
        <v>373.3954862246095</v>
      </c>
      <c r="R48" s="1">
        <v>243.47405014642848</v>
      </c>
      <c r="S48" s="1">
        <v>350.16099111441036</v>
      </c>
      <c r="T48" s="1">
        <v>11.589363098825819</v>
      </c>
      <c r="U48" s="1">
        <v>8.2752221516785429</v>
      </c>
      <c r="V48" s="1">
        <v>0.98505423466364539</v>
      </c>
      <c r="W48" s="1">
        <v>0.62382744936754142</v>
      </c>
      <c r="X48" s="1">
        <v>1906314.0657699436</v>
      </c>
      <c r="Y48" s="1">
        <v>1122541.3582834748</v>
      </c>
      <c r="Z48" s="1">
        <v>2.6744799239999999</v>
      </c>
      <c r="AA48" s="1">
        <v>144.421915896</v>
      </c>
      <c r="AB48" s="1">
        <v>2.410907989</v>
      </c>
      <c r="AC48" s="1">
        <v>130.189031406</v>
      </c>
      <c r="AD48" s="1">
        <v>2.5349418410000002</v>
      </c>
      <c r="AE48" s="1">
        <v>136.88685941400001</v>
      </c>
      <c r="AF48" s="1">
        <v>1.93</v>
      </c>
      <c r="AG48" s="1">
        <v>0</v>
      </c>
      <c r="AH48" s="1">
        <v>98.07</v>
      </c>
      <c r="AI48" s="1">
        <v>2.2599999999999998</v>
      </c>
      <c r="AJ48" s="1">
        <v>1.69</v>
      </c>
      <c r="AK48" s="1">
        <v>0.01</v>
      </c>
      <c r="AL48" s="1">
        <v>98.3</v>
      </c>
      <c r="AM48" s="1">
        <v>2.2599999999999998</v>
      </c>
      <c r="AN48" s="1">
        <v>2.77</v>
      </c>
      <c r="AO48" s="1">
        <v>0.02</v>
      </c>
      <c r="AP48" s="1">
        <v>97.2</v>
      </c>
      <c r="AQ48" s="1">
        <v>2.2599999999999998</v>
      </c>
    </row>
    <row r="49" spans="1:43" x14ac:dyDescent="0.35">
      <c r="A49" t="s">
        <v>109</v>
      </c>
      <c r="B49" s="1" t="s">
        <v>48</v>
      </c>
      <c r="C49" s="1" t="str">
        <f>_xlfn.XLOOKUP(A49,'[1]Results Filtered'!$H:$H,'[1]Results Filtered'!$A:$A)</f>
        <v>Whole mAb Fusion</v>
      </c>
      <c r="D49" s="1" t="str">
        <f>_xlfn.XLOOKUP(A49,'[1]Results Filtered'!$H:$H,'[1]Results Filtered'!$B:$B)</f>
        <v>G1</v>
      </c>
      <c r="E49" s="1" t="str">
        <f>_xlfn.XLOOKUP(A49,'[1]Results Filtered'!$H:$H,'[1]Results Filtered'!$C:$C)</f>
        <v>Kappa</v>
      </c>
      <c r="F49" s="1" t="str">
        <f>_xlfn.XLOOKUP(A49,'[1]Results Filtered'!$H:$H,'[1]Results Filtered'!$D:$D)</f>
        <v>SIRPA</v>
      </c>
      <c r="G49" s="1"/>
      <c r="H49" s="1" t="str">
        <f>_xlfn.XLOOKUP(A49,'[1]Results Filtered'!$H:$H,'[1]Results Filtered'!$F:$F)</f>
        <v>Phase-I/II</v>
      </c>
      <c r="I49" s="1" t="str">
        <f>_xlfn.XLOOKUP(A49,'[1]Results Filtered'!$H:$H,'[1]Results Filtered'!$G:$G)</f>
        <v>ImmuneOnco Biopharma</v>
      </c>
      <c r="J49" s="1" t="s">
        <v>123</v>
      </c>
      <c r="K49" s="2" t="s">
        <v>124</v>
      </c>
      <c r="L49" s="6" t="s">
        <v>145</v>
      </c>
      <c r="M49" s="1">
        <v>12.89970423563436</v>
      </c>
      <c r="N49" s="1">
        <v>1.9450000000000001</v>
      </c>
      <c r="O49" s="1">
        <v>1.9470000000000001</v>
      </c>
      <c r="P49" s="1">
        <v>1.9450000000000001</v>
      </c>
      <c r="Q49" s="1">
        <v>257.71896780300875</v>
      </c>
      <c r="R49" s="1">
        <v>172.10239621559012</v>
      </c>
      <c r="S49" s="1">
        <v>226.78964810272248</v>
      </c>
      <c r="T49" s="1">
        <v>4.598195454027139</v>
      </c>
      <c r="U49" s="1">
        <v>0.94593842324856015</v>
      </c>
      <c r="V49" s="1">
        <v>0.48215349018573761</v>
      </c>
      <c r="W49" s="1">
        <v>0.27373818319191145</v>
      </c>
      <c r="X49" s="1">
        <v>2764604.0130990571</v>
      </c>
      <c r="Y49" s="1">
        <v>691258.99392032623</v>
      </c>
      <c r="Z49" s="1">
        <v>2.5194376090000001</v>
      </c>
      <c r="AA49" s="1">
        <v>136.04963088600002</v>
      </c>
      <c r="AB49" s="1">
        <v>2.2636177910000002</v>
      </c>
      <c r="AC49" s="1">
        <v>122.23536071400001</v>
      </c>
      <c r="AD49" s="1">
        <v>2.3876516419999998</v>
      </c>
      <c r="AE49" s="1">
        <v>128.93318866799999</v>
      </c>
      <c r="AF49" s="1">
        <v>1.32</v>
      </c>
      <c r="AG49" s="1">
        <v>0.01</v>
      </c>
      <c r="AH49" s="1">
        <v>98.67</v>
      </c>
      <c r="AI49" s="1">
        <v>2.2599999999999998</v>
      </c>
      <c r="AJ49" s="1">
        <v>1.1000000000000001</v>
      </c>
      <c r="AK49" s="1">
        <v>0.02</v>
      </c>
      <c r="AL49" s="1">
        <v>98.88</v>
      </c>
      <c r="AM49" s="1">
        <v>2.2599999999999998</v>
      </c>
      <c r="AN49" s="1">
        <v>1.91</v>
      </c>
      <c r="AO49" s="1">
        <v>0</v>
      </c>
      <c r="AP49" s="1">
        <v>98.09</v>
      </c>
      <c r="AQ49" s="1">
        <v>2.2599999999999998</v>
      </c>
    </row>
  </sheetData>
  <pageMargins left="0.7" right="0.7" top="0.75" bottom="0.75" header="0.3" footer="0.3"/>
</worksheet>
</file>

<file path=docMetadata/LabelInfo.xml><?xml version="1.0" encoding="utf-8"?>
<clbl:labelList xmlns:clbl="http://schemas.microsoft.com/office/2020/mipLabelMetadata">
  <clbl:label id="{bfd0b529-4a04-4616-88d2-531082d94bb8}" enabled="1" method="Standard" siteId="{e1f8af86-ee95-4718-bd0d-375b37366c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Heuschkel,James (DR BTD) BIP-US-R</dc:creator>
  <cp:lastModifiedBy>Heuschkel,James (DR BTD) BIP-US-R</cp:lastModifiedBy>
  <dcterms:created xsi:type="dcterms:W3CDTF">2015-06-05T18:17:20Z</dcterms:created>
  <dcterms:modified xsi:type="dcterms:W3CDTF">2026-07-28T23:28:32Z</dcterms:modified>
</cp:coreProperties>
</file>